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2024Help" sheetId="1" state="visible" r:id="rId1"/>
  </sheets>
  <definedNames>
    <definedName name="ACCTBAL">'2024Help'!$AI:$AI</definedName>
    <definedName name="AltKey">'2024Help'!$D:$D</definedName>
    <definedName name="DFRL">'2024Help'!$AT:$AT</definedName>
    <definedName name="DOB">'2024Help'!$E:$E</definedName>
    <definedName name="DOH">'2024Help'!$J:$J</definedName>
    <definedName name="DOP">'2024Help'!$O:$O</definedName>
    <definedName name="DORH">'2024Help'!$Y:$Y</definedName>
    <definedName name="DOT">'2024Help'!$T:$T</definedName>
    <definedName name="GrandTotal">'2024Help'!$A$180</definedName>
    <definedName name="GrandTotalRow">'2024Help'!$AJ$180:$BK$180</definedName>
    <definedName name="GROUP">'2024Help'!#REF!</definedName>
    <definedName name="HCE">'2024Help'!$AJ$4:$BK$4</definedName>
    <definedName name="HCE_NO">'2024Help'!$AJ$89:$BK$89</definedName>
    <definedName name="HCENum">'2024Help'!$A$4</definedName>
    <definedName name="Issues">'2024Help'!$BL$1:$BL$177</definedName>
    <definedName name="LTD">'2024Help'!$AM:$AM</definedName>
    <definedName name="LTDCOMP">'2024Help'!$AS:$AS</definedName>
    <definedName name="MATCH">'2024Help'!$BA:$BA</definedName>
    <definedName name="NAME">'2024Help'!$B:$B</definedName>
    <definedName name="NENum">'2024Help'!$A$178</definedName>
    <definedName name="NES">'2024Help'!$AJ$103:$BK$103</definedName>
    <definedName name="NESNum">'2024Help'!$A$103</definedName>
    <definedName name="NEX">'2024Help'!$AJ$178:$BK$178</definedName>
    <definedName name="NHCE_Group">'2024Help'!$B$6:$BL$88</definedName>
    <definedName name="NHCENum">'2024Help'!$A$89</definedName>
    <definedName name="ROTH">'2024Help'!$AW:$AW</definedName>
    <definedName name="SDT">'2024Help'!$AZ:$AZ</definedName>
    <definedName name="SF_1">'2024Help'!$AP:$AP</definedName>
    <definedName name="STATUS">'2024Help'!$AD:$AD</definedName>
    <definedName name="TotalElig">'2024Help'!$A$90</definedName>
    <definedName name="TotalWF">'2024Help'!$105:$105</definedName>
    <definedName name="YTD">'2024Help'!$AJ:$AJ</definedName>
    <definedName name="_xlnm.Print_Titles" localSheetId="0">'2024Help'!$1:$1,'2024Help'!$A:$C</definedName>
  </definedNames>
  <calcPr calcId="191028" calcMode="manual" fullCalcOnLoad="1" iterate="1"/>
</workbook>
</file>

<file path=xl/styles.xml><?xml version="1.0" encoding="utf-8"?>
<styleSheet xmlns="http://schemas.openxmlformats.org/spreadsheetml/2006/main">
  <numFmts count="1">
    <numFmt numFmtId="164" formatCode="\ mm\/dd\/yyyy"/>
  </numFmts>
  <fonts count="2">
    <font>
      <name val="ARIAL"/>
      <charset val="1"/>
      <color rgb="FF000000"/>
      <sz val="10"/>
    </font>
    <font>
      <name val="ARIAL"/>
      <family val="2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39" fontId="0" fillId="0" borderId="0" applyAlignment="1" pivotButton="0" quotePrefix="0" xfId="0">
      <alignment vertical="top"/>
    </xf>
    <xf numFmtId="0" fontId="1" fillId="0" borderId="0" pivotButton="0" quotePrefix="0" xfId="0"/>
    <xf numFmtId="0" fontId="1" fillId="0" borderId="0" applyAlignment="1" pivotButton="0" quotePrefix="0" xfId="0">
      <alignment vertical="top"/>
    </xf>
    <xf numFmtId="164" fontId="1" fillId="0" borderId="0" applyAlignment="1" pivotButton="0" quotePrefix="0" xfId="0">
      <alignment vertical="top"/>
    </xf>
    <xf numFmtId="1" fontId="1" fillId="0" borderId="0" applyAlignment="1" pivotButton="0" quotePrefix="0" xfId="0">
      <alignment vertical="top"/>
    </xf>
    <xf numFmtId="4" fontId="1" fillId="0" borderId="1" applyAlignment="1" pivotButton="0" quotePrefix="0" xfId="0">
      <alignment vertical="top"/>
    </xf>
    <xf numFmtId="3" fontId="1" fillId="0" borderId="1" applyAlignment="1" pivotButton="0" quotePrefix="0" xfId="0">
      <alignment vertical="top"/>
    </xf>
    <xf numFmtId="39" fontId="1" fillId="0" borderId="1" applyAlignment="1" pivotButton="0" quotePrefix="0" xfId="0">
      <alignment vertical="top"/>
    </xf>
    <xf numFmtId="4" fontId="1" fillId="0" borderId="0" applyAlignment="1" pivotButton="0" quotePrefix="0" xfId="0">
      <alignment vertical="top"/>
    </xf>
    <xf numFmtId="3" fontId="1" fillId="0" borderId="0" applyAlignment="1" pivotButton="0" quotePrefix="0" xfId="0">
      <alignment vertical="top"/>
    </xf>
    <xf numFmtId="39" fontId="1" fillId="0" borderId="0" applyAlignment="1" pivotButton="0" quotePrefix="0" xfId="0">
      <alignment vertical="top"/>
    </xf>
    <xf numFmtId="4" fontId="1" fillId="0" borderId="1" pivotButton="0" quotePrefix="0" xfId="0"/>
    <xf numFmtId="3" fontId="1" fillId="0" borderId="1" pivotButton="0" quotePrefix="0" xfId="0"/>
    <xf numFmtId="4" fontId="0" fillId="0" borderId="0" pivotButton="0" quotePrefix="0" xfId="0"/>
    <xf numFmtId="3" fontId="0" fillId="0" borderId="0" pivotButton="0" quotePrefix="0" xfId="0"/>
    <xf numFmtId="4" fontId="1" fillId="0" borderId="0" pivotButton="0" quotePrefix="0" xfId="0"/>
    <xf numFmtId="3" fontId="1" fillId="0" borderId="0" pivotButton="0" quotePrefix="0" xfId="0"/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0" fontId="1" fillId="2" borderId="0" pivotButton="0" quotePrefix="0" xfId="0"/>
    <xf numFmtId="0" fontId="0" fillId="2" borderId="0" pivotButton="0" quotePrefix="0" xfId="0"/>
    <xf numFmtId="14" fontId="0" fillId="2" borderId="0" pivotButton="0" quotePrefix="0" xfId="0"/>
    <xf numFmtId="3" fontId="0" fillId="2" borderId="0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" fontId="1" fillId="2" borderId="0" applyAlignment="1" pivotButton="0" quotePrefix="0" xfId="0">
      <alignment vertical="top"/>
    </xf>
    <xf numFmtId="3" fontId="1" fillId="2" borderId="1" pivotButton="0" quotePrefix="0" xfId="0"/>
    <xf numFmtId="3" fontId="0" fillId="2" borderId="0" pivotButton="0" quotePrefix="0" xfId="0"/>
    <xf numFmtId="3" fontId="1" fillId="2" borderId="0" pivotButton="0" quotePrefix="0" xfId="0"/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164" fontId="1" fillId="3" borderId="0" applyAlignment="1" pivotButton="0" quotePrefix="0" xfId="0">
      <alignment vertical="top"/>
    </xf>
    <xf numFmtId="0" fontId="1" fillId="3" borderId="0" pivotButton="0" quotePrefix="0" xfId="0"/>
    <xf numFmtId="0" fontId="0" fillId="3" borderId="0" pivotButton="0" quotePrefix="0" xfId="0"/>
    <xf numFmtId="14" fontId="0" fillId="3" borderId="0" pivotButton="0" quotePrefix="0" xfId="0"/>
    <xf numFmtId="3" fontId="0" fillId="3" borderId="0" applyAlignment="1" pivotButton="0" quotePrefix="0" xfId="0">
      <alignment vertical="top"/>
    </xf>
    <xf numFmtId="3" fontId="1" fillId="3" borderId="1" applyAlignment="1" pivotButton="0" quotePrefix="0" xfId="0">
      <alignment vertical="top"/>
    </xf>
    <xf numFmtId="3" fontId="1" fillId="3" borderId="0" applyAlignment="1" pivotButton="0" quotePrefix="0" xfId="0">
      <alignment vertical="top"/>
    </xf>
    <xf numFmtId="3" fontId="1" fillId="3" borderId="1" pivotButton="0" quotePrefix="0" xfId="0"/>
    <xf numFmtId="3" fontId="0" fillId="3" borderId="0" pivotButton="0" quotePrefix="0" xfId="0"/>
    <xf numFmtId="3" fontId="1" fillId="3" borderId="0" pivotButton="0" quotePrefix="0" xfId="0"/>
    <xf numFmtId="4" fontId="0" fillId="3" borderId="0" applyAlignment="1" pivotButton="0" quotePrefix="0" xfId="0">
      <alignment vertical="top"/>
    </xf>
    <xf numFmtId="4" fontId="1" fillId="3" borderId="1" applyAlignment="1" pivotButton="0" quotePrefix="0" xfId="0">
      <alignment vertical="top"/>
    </xf>
    <xf numFmtId="4" fontId="1" fillId="3" borderId="0" applyAlignment="1" pivotButton="0" quotePrefix="0" xfId="0">
      <alignment vertical="top"/>
    </xf>
    <xf numFmtId="4" fontId="1" fillId="3" borderId="1" pivotButton="0" quotePrefix="0" xfId="0"/>
    <xf numFmtId="4" fontId="0" fillId="3" borderId="0" pivotButton="0" quotePrefix="0" xfId="0"/>
    <xf numFmtId="4" fontId="1" fillId="3" borderId="0" pivotButton="0" quotePrefix="0" xfId="0"/>
    <xf numFmtId="39" fontId="0" fillId="3" borderId="0" applyAlignment="1" pivotButton="0" quotePrefix="0" xfId="0">
      <alignment vertical="top"/>
    </xf>
    <xf numFmtId="39" fontId="1" fillId="3" borderId="1" applyAlignment="1" pivotButton="0" quotePrefix="0" xfId="0">
      <alignment vertical="top"/>
    </xf>
    <xf numFmtId="39" fontId="1" fillId="3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BM180"/>
  <sheetViews>
    <sheetView tabSelected="1"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baseColWidth="8" defaultColWidth="6.85546875" defaultRowHeight="12.6"/>
  <cols>
    <col width="3.85546875" bestFit="1" customWidth="1" min="1" max="1"/>
    <col width="30" bestFit="1" customWidth="1" min="2" max="2"/>
    <col width="11.140625" bestFit="1" customWidth="1" min="3" max="3"/>
    <col width="3.28515625" bestFit="1" customWidth="1" min="4" max="4"/>
    <col width="10.42578125" bestFit="1" customWidth="1" min="5" max="5"/>
    <col width="10.42578125" customWidth="1" style="39" min="6" max="7"/>
    <col width="10.42578125" customWidth="1" style="27" min="8" max="9"/>
    <col width="10.42578125" bestFit="1" customWidth="1" min="10" max="10"/>
    <col width="10.42578125" customWidth="1" style="39" min="11" max="12"/>
    <col width="10.42578125" customWidth="1" style="27" min="13" max="14"/>
    <col width="10.42578125" bestFit="1" customWidth="1" min="15" max="15"/>
    <col width="10.42578125" customWidth="1" style="39" min="16" max="17"/>
    <col width="10.42578125" customWidth="1" style="27" min="18" max="19"/>
    <col width="10.42578125" bestFit="1" customWidth="1" min="20" max="20"/>
    <col width="10.42578125" customWidth="1" style="39" min="21" max="22"/>
    <col width="10.42578125" customWidth="1" style="27" min="23" max="24"/>
    <col width="10.42578125" bestFit="1" customWidth="1" min="25" max="25"/>
    <col width="10.42578125" customWidth="1" style="39" min="26" max="27"/>
    <col width="10.42578125" customWidth="1" style="27" min="28" max="29"/>
    <col width="6.140625" bestFit="1" customWidth="1" min="30" max="30"/>
    <col width="3.7109375" bestFit="1" customWidth="1" min="31" max="31"/>
    <col width="9.42578125" bestFit="1" customWidth="1" min="32" max="32"/>
    <col width="4.140625" bestFit="1" customWidth="1" min="33" max="33"/>
    <col width="4.5703125" bestFit="1" customWidth="1" min="34" max="34"/>
    <col width="12.42578125" bestFit="1" customWidth="1" style="19" min="35" max="35"/>
    <col width="7.42578125" bestFit="1" customWidth="1" style="20" min="36" max="36"/>
    <col width="7.42578125" customWidth="1" style="45" min="37" max="38"/>
    <col width="5.42578125" bestFit="1" customWidth="1" style="20" min="39" max="39"/>
    <col width="5.42578125" customWidth="1" style="33" min="40" max="41"/>
    <col width="11.42578125" bestFit="1" customWidth="1" style="19" min="42" max="42"/>
    <col width="11.42578125" customWidth="1" style="51" min="43" max="44"/>
    <col width="11.42578125" bestFit="1" customWidth="1" style="19" min="45" max="45"/>
    <col width="9.85546875" bestFit="1" customWidth="1" style="19" min="46" max="46"/>
    <col width="9.85546875" customWidth="1" style="51" min="47" max="48"/>
    <col width="9.85546875" bestFit="1" customWidth="1" style="19" min="49" max="49"/>
    <col width="9.85546875" customWidth="1" style="51" min="50" max="51"/>
    <col width="9.85546875" bestFit="1" customWidth="1" style="19" min="52" max="52"/>
    <col width="7.85546875" bestFit="1" customWidth="1" style="19" min="53" max="53"/>
    <col width="11.42578125" bestFit="1" customWidth="1" style="19" min="54" max="54"/>
    <col width="9.85546875" bestFit="1" customWidth="1" style="19" min="55" max="55"/>
    <col width="9.85546875" customWidth="1" style="51" min="56" max="57"/>
    <col width="10.5703125" bestFit="1" customWidth="1" min="58" max="58"/>
    <col width="10.5703125" customWidth="1" style="39" min="59" max="60"/>
    <col width="14" bestFit="1" customWidth="1" min="61" max="61"/>
    <col width="9.85546875" bestFit="1" customWidth="1" min="62" max="62"/>
    <col width="41.140625" bestFit="1" customWidth="1" min="63" max="63"/>
  </cols>
  <sheetData>
    <row r="1">
      <c r="B1" s="1" t="inlineStr">
        <is>
          <t>Name</t>
        </is>
      </c>
      <c r="C1" s="1" t="inlineStr">
        <is>
          <t>SS#</t>
        </is>
      </c>
      <c r="D1" s="1" t="inlineStr">
        <is>
          <t>Div</t>
        </is>
      </c>
      <c r="E1" s="1" t="inlineStr">
        <is>
          <t>DOB</t>
        </is>
      </c>
      <c r="F1" s="35" t="inlineStr">
        <is>
          <t>Birth Date</t>
        </is>
      </c>
      <c r="G1" s="35" t="inlineStr">
        <is>
          <t>Match_Birth Date</t>
        </is>
      </c>
      <c r="H1" s="23" t="inlineStr">
        <is>
          <t>Prior_DOB</t>
        </is>
      </c>
      <c r="I1" s="23" t="inlineStr">
        <is>
          <t>Match_DOB</t>
        </is>
      </c>
      <c r="J1" s="1" t="inlineStr">
        <is>
          <t>DOH</t>
        </is>
      </c>
      <c r="K1" s="35" t="inlineStr">
        <is>
          <t>Hire Date</t>
        </is>
      </c>
      <c r="L1" s="35" t="inlineStr">
        <is>
          <t>Match_Hire Date</t>
        </is>
      </c>
      <c r="M1" s="23" t="inlineStr">
        <is>
          <t>Prior_DOH</t>
        </is>
      </c>
      <c r="N1" s="23" t="inlineStr">
        <is>
          <t>Match_DOH</t>
        </is>
      </c>
      <c r="O1" s="1" t="inlineStr">
        <is>
          <t>Entry</t>
        </is>
      </c>
      <c r="P1" s="1" t="inlineStr">
        <is>
          <t>POC Status</t>
        </is>
      </c>
      <c r="Q1" s="35" t="inlineStr">
        <is>
          <t>EE Deferral Entry Date</t>
        </is>
      </c>
      <c r="R1" s="35" t="inlineStr">
        <is>
          <t>Match_EE Deferral Entry Date</t>
        </is>
      </c>
      <c r="S1" s="23" t="inlineStr">
        <is>
          <t>Prior_Entry</t>
        </is>
      </c>
      <c r="T1" s="23" t="inlineStr">
        <is>
          <t>Match_Entry</t>
        </is>
      </c>
      <c r="U1" s="1" t="inlineStr">
        <is>
          <t>Term</t>
        </is>
      </c>
      <c r="V1" s="35" t="inlineStr">
        <is>
          <t>Termination/Status Change Date</t>
        </is>
      </c>
      <c r="W1" s="35" t="inlineStr">
        <is>
          <t>Match_Termination/Status Change Date</t>
        </is>
      </c>
      <c r="X1" s="23" t="inlineStr">
        <is>
          <t>Prior_Term</t>
        </is>
      </c>
      <c r="Y1" s="23" t="inlineStr">
        <is>
          <t>Match_Term</t>
        </is>
      </c>
      <c r="Z1" s="1" t="inlineStr">
        <is>
          <t>Rehire</t>
        </is>
      </c>
      <c r="AA1" s="35" t="inlineStr">
        <is>
          <t>Rehire Date</t>
        </is>
      </c>
      <c r="AB1" s="35" t="inlineStr">
        <is>
          <t>Match_Rehire Date</t>
        </is>
      </c>
      <c r="AC1" s="23" t="inlineStr">
        <is>
          <t>Prior_Rehire</t>
        </is>
      </c>
      <c r="AD1" s="23" t="inlineStr">
        <is>
          <t>Match_Rehire</t>
        </is>
      </c>
      <c r="AE1" s="1" t="inlineStr">
        <is>
          <t>Status</t>
        </is>
      </c>
      <c r="AF1" s="1" t="inlineStr">
        <is>
          <t>Ofc</t>
        </is>
      </c>
      <c r="AG1" s="1" t="inlineStr">
        <is>
          <t>OWNER%</t>
        </is>
      </c>
      <c r="AH1" s="1" t="inlineStr">
        <is>
          <t>Key</t>
        </is>
      </c>
      <c r="AI1" s="1" t="inlineStr">
        <is>
          <t>HCE</t>
        </is>
      </c>
      <c r="AJ1" s="4" t="inlineStr">
        <is>
          <t>Acct Bal</t>
        </is>
      </c>
      <c r="AK1" s="5" t="inlineStr">
        <is>
          <t>Hrs.</t>
        </is>
      </c>
      <c r="AL1" s="41" t="inlineStr">
        <is>
          <t>YTD Hours</t>
        </is>
      </c>
      <c r="AM1" s="41" t="inlineStr">
        <is>
          <t>Diff_YTD Hours</t>
        </is>
      </c>
      <c r="AN1" s="5" t="inlineStr">
        <is>
          <t>YOS.</t>
        </is>
      </c>
      <c r="AO1" s="29" t="inlineStr">
        <is>
          <t>Prior_YOS.</t>
        </is>
      </c>
      <c r="AP1" s="29" t="inlineStr">
        <is>
          <t>Match_YOS.</t>
        </is>
      </c>
      <c r="AQ1" s="4" t="inlineStr">
        <is>
          <t>Comp</t>
        </is>
      </c>
      <c r="AR1" s="47" t="inlineStr">
        <is>
          <t>YTD Gross Comp</t>
        </is>
      </c>
      <c r="AS1" s="47" t="inlineStr">
        <is>
          <t>Diff_YTD Gross Comp</t>
        </is>
      </c>
      <c r="AT1" s="4" t="inlineStr">
        <is>
          <t>LTD Comp</t>
        </is>
      </c>
      <c r="AU1" s="4" t="inlineStr">
        <is>
          <t>Deferrals</t>
        </is>
      </c>
      <c r="AV1" s="47" t="inlineStr">
        <is>
          <t>EE DEFERRALS</t>
        </is>
      </c>
      <c r="AW1" s="47" t="inlineStr">
        <is>
          <t>Diff_EE DEFERRALS</t>
        </is>
      </c>
      <c r="AX1" s="4" t="inlineStr">
        <is>
          <t>Roth</t>
        </is>
      </c>
      <c r="AY1" s="47" t="inlineStr">
        <is>
          <t>EE ROTH</t>
        </is>
      </c>
      <c r="AZ1" s="47" t="inlineStr">
        <is>
          <t>Diff_EE ROTH</t>
        </is>
      </c>
      <c r="BA1" s="4" t="inlineStr">
        <is>
          <t>SD</t>
        </is>
      </c>
      <c r="BB1" s="4" t="inlineStr">
        <is>
          <t>Catchup</t>
        </is>
      </c>
      <c r="BC1" s="4" t="inlineStr">
        <is>
          <t>ADP Deferral</t>
        </is>
      </c>
      <c r="BD1" s="4" t="inlineStr">
        <is>
          <t>Match</t>
        </is>
      </c>
      <c r="BE1" s="47" t="inlineStr">
        <is>
          <t>ER MATCH</t>
        </is>
      </c>
      <c r="BF1" s="47" t="inlineStr">
        <is>
          <t>Diff_ER MATCH</t>
        </is>
      </c>
      <c r="BG1" s="1" t="inlineStr">
        <is>
          <t>ER/PS</t>
        </is>
      </c>
      <c r="BH1" s="35" t="inlineStr">
        <is>
          <t>ER NONELECTIVE</t>
        </is>
      </c>
      <c r="BI1" s="35" t="inlineStr">
        <is>
          <t>Diff_ER NONELECTIVE</t>
        </is>
      </c>
      <c r="BJ1" s="1" t="inlineStr">
        <is>
          <t>Contrib Analysis</t>
        </is>
      </c>
      <c r="BK1" s="1" t="inlineStr">
        <is>
          <t>415 Limit</t>
        </is>
      </c>
      <c r="BL1" s="1" t="inlineStr">
        <is>
          <t>POSSIBLE ISSUES</t>
        </is>
      </c>
    </row>
    <row r="2">
      <c r="A2" t="n">
        <v>1</v>
      </c>
      <c r="B2" s="1" t="n"/>
      <c r="C2" s="1" t="n"/>
      <c r="D2" s="1" t="inlineStr"/>
      <c r="E2" s="2" t="n">
        <v>23956</v>
      </c>
      <c r="F2" s="36" t="n">
        <v>23956</v>
      </c>
      <c r="G2" s="36" t="b">
        <v>1</v>
      </c>
      <c r="H2" s="24" t="n">
        <v>23956</v>
      </c>
      <c r="I2" s="24" t="b">
        <v>1</v>
      </c>
      <c r="J2" s="2" t="n">
        <v>41745</v>
      </c>
      <c r="K2" s="36" t="n">
        <v>41745</v>
      </c>
      <c r="L2" s="36" t="b">
        <v>1</v>
      </c>
      <c r="M2" s="24" t="n">
        <v>41745</v>
      </c>
      <c r="N2" s="24" t="b">
        <v>1</v>
      </c>
      <c r="O2" s="2" t="n">
        <v>41745</v>
      </c>
      <c r="P2" t="inlineStr">
        <is>
          <t>Processed</t>
        </is>
      </c>
      <c r="Q2" s="36" t="n">
        <v>41745</v>
      </c>
      <c r="R2" s="36" t="b">
        <v>1</v>
      </c>
      <c r="S2" s="24" t="n">
        <v>41745</v>
      </c>
      <c r="T2" s="24" t="b">
        <v>1</v>
      </c>
      <c r="W2" s="39" t="b">
        <v>1</v>
      </c>
      <c r="Y2" s="27" t="b">
        <v>1</v>
      </c>
      <c r="AB2" s="39" t="b">
        <v>1</v>
      </c>
      <c r="AD2" s="27" t="b">
        <v>1</v>
      </c>
      <c r="AE2" s="1" t="inlineStr">
        <is>
          <t>A</t>
        </is>
      </c>
      <c r="AF2" s="1" t="inlineStr">
        <is>
          <t>Y</t>
        </is>
      </c>
      <c r="AG2" s="3" t="n">
        <v>0</v>
      </c>
      <c r="AH2" s="1" t="inlineStr">
        <is>
          <t>Y</t>
        </is>
      </c>
      <c r="AI2" s="1" t="inlineStr">
        <is>
          <t>Y</t>
        </is>
      </c>
      <c r="AJ2" s="4" t="n">
        <v>424064.86</v>
      </c>
      <c r="AK2" s="5" t="n">
        <v>2081</v>
      </c>
      <c r="AL2" s="41" t="n">
        <v>2081</v>
      </c>
      <c r="AM2" s="41">
        <f>IF(AND(ISNUMBER($AK$2), ISNUMBER($AJ$2)), IF(($AK$2 - $AJ$2)&lt;=1, 0, ($AK$2 - $AJ$2)), "")</f>
        <v/>
      </c>
      <c r="AN2" s="5" t="n">
        <v>20</v>
      </c>
      <c r="AO2" s="29" t="n">
        <v>19</v>
      </c>
      <c r="AP2" s="29" t="b">
        <v>1</v>
      </c>
      <c r="AQ2" s="4" t="n">
        <v>278873.13</v>
      </c>
      <c r="AR2" s="47" t="n">
        <v>278873.13</v>
      </c>
      <c r="AS2" s="47">
        <f>$AQ$2-$AP$2</f>
        <v/>
      </c>
      <c r="AT2" s="4" t="n">
        <v>278873.13</v>
      </c>
      <c r="AU2" s="4" t="n">
        <v>12800</v>
      </c>
      <c r="AV2" s="47" t="n">
        <v>12800</v>
      </c>
      <c r="AW2" s="47">
        <f>$AU$2-$AT$2</f>
        <v/>
      </c>
      <c r="AX2" s="4" t="n">
        <v>0</v>
      </c>
      <c r="AY2" s="47" t="n">
        <v>0</v>
      </c>
      <c r="AZ2" s="47">
        <f>$AX$2-$AW$2</f>
        <v/>
      </c>
      <c r="BA2" s="4" t="n">
        <v>12800</v>
      </c>
      <c r="BB2" s="4" t="n">
        <v>0</v>
      </c>
      <c r="BC2" s="4" t="n">
        <v>12800</v>
      </c>
      <c r="BD2" s="4" t="n">
        <v>7991.3</v>
      </c>
      <c r="BE2" s="47" t="n">
        <v>7991.3</v>
      </c>
      <c r="BF2" s="47">
        <f>$BD$2-$BC$2</f>
        <v/>
      </c>
      <c r="BG2" s="6" t="n">
        <v>19521.13</v>
      </c>
      <c r="BH2" s="53" t="n">
        <v>19521.13</v>
      </c>
      <c r="BI2" s="53">
        <f>$BG$2-$BF$2</f>
        <v/>
      </c>
      <c r="BJ2" s="4" t="n">
        <v>40312.43</v>
      </c>
      <c r="BK2" s="4" t="n">
        <v>40312.43</v>
      </c>
      <c r="BL2" t="inlineStr">
        <is>
          <t xml:space="preserve"> Match=0 but Roth or Deferral &gt;0. </t>
        </is>
      </c>
    </row>
    <row r="3">
      <c r="A3" t="n">
        <v>2</v>
      </c>
      <c r="B3" s="1" t="n"/>
      <c r="C3" s="1" t="n"/>
      <c r="D3" s="1" t="inlineStr"/>
      <c r="E3" s="2" t="n">
        <v>25231</v>
      </c>
      <c r="F3" s="36" t="n">
        <v>25231</v>
      </c>
      <c r="G3" s="36" t="b">
        <v>1</v>
      </c>
      <c r="H3" s="24" t="n">
        <v>25231</v>
      </c>
      <c r="I3" s="24" t="b">
        <v>1</v>
      </c>
      <c r="J3" s="2" t="n">
        <v>44074</v>
      </c>
      <c r="K3" s="36" t="n">
        <v>44074</v>
      </c>
      <c r="L3" s="36" t="b">
        <v>1</v>
      </c>
      <c r="M3" s="24" t="n">
        <v>44074</v>
      </c>
      <c r="N3" s="24" t="b">
        <v>1</v>
      </c>
      <c r="O3" s="2" t="n">
        <v>44166</v>
      </c>
      <c r="P3" t="inlineStr">
        <is>
          <t>Processed</t>
        </is>
      </c>
      <c r="Q3" s="36" t="n">
        <v>44166</v>
      </c>
      <c r="R3" s="36" t="b">
        <v>1</v>
      </c>
      <c r="S3" s="24" t="n">
        <v>44166</v>
      </c>
      <c r="T3" s="24" t="b">
        <v>1</v>
      </c>
      <c r="W3" s="39" t="b">
        <v>1</v>
      </c>
      <c r="Y3" s="27" t="b">
        <v>1</v>
      </c>
      <c r="AB3" s="39" t="b">
        <v>1</v>
      </c>
      <c r="AD3" s="27" t="b">
        <v>1</v>
      </c>
      <c r="AE3" s="1" t="inlineStr">
        <is>
          <t>A</t>
        </is>
      </c>
      <c r="AF3" s="1" t="inlineStr">
        <is>
          <t>N</t>
        </is>
      </c>
      <c r="AG3" s="3" t="n">
        <v>0</v>
      </c>
      <c r="AH3" s="1" t="inlineStr">
        <is>
          <t>N</t>
        </is>
      </c>
      <c r="AI3" s="1" t="inlineStr">
        <is>
          <t>Y</t>
        </is>
      </c>
      <c r="AJ3" s="4" t="n">
        <v>159333.56</v>
      </c>
      <c r="AK3" s="5" t="n">
        <v>2080</v>
      </c>
      <c r="AL3" s="41" t="n">
        <v>2080</v>
      </c>
      <c r="AM3" s="41">
        <f>IF(AND(ISNUMBER($AK$3), ISNUMBER($AJ$3)), IF(($AK$3 - $AJ$3)&lt;=1, 0, ($AK$3 - $AJ$3)), "")</f>
        <v/>
      </c>
      <c r="AN3" s="5" t="n">
        <v>4</v>
      </c>
      <c r="AO3" s="29" t="n">
        <v>3</v>
      </c>
      <c r="AP3" s="29" t="b">
        <v>1</v>
      </c>
      <c r="AQ3" s="4" t="n">
        <v>174967.2</v>
      </c>
      <c r="AR3" s="47" t="n">
        <v>174967.2</v>
      </c>
      <c r="AS3" s="47">
        <f>$AQ$3-$AP$3</f>
        <v/>
      </c>
      <c r="AT3" s="4" t="n">
        <v>174967.2</v>
      </c>
      <c r="AU3" s="4" t="n">
        <v>9006.76</v>
      </c>
      <c r="AV3" s="47" t="n">
        <v>9006.76</v>
      </c>
      <c r="AW3" s="47">
        <f>$AU$3-$AT$3</f>
        <v/>
      </c>
      <c r="AX3" s="4" t="n">
        <v>2745.6</v>
      </c>
      <c r="AY3" s="47" t="n">
        <v>2745.6</v>
      </c>
      <c r="AZ3" s="47">
        <f>$AX$3-$AW$3</f>
        <v/>
      </c>
      <c r="BA3" s="4" t="n">
        <v>11752.36</v>
      </c>
      <c r="BB3" s="4" t="n">
        <v>0</v>
      </c>
      <c r="BC3" s="4" t="n">
        <v>11752.36</v>
      </c>
      <c r="BD3" s="4" t="n">
        <v>5099.12</v>
      </c>
      <c r="BE3" s="47" t="n">
        <v>5099.12</v>
      </c>
      <c r="BF3" s="47">
        <f>$BD$3-$BC$3</f>
        <v/>
      </c>
      <c r="BG3" s="6" t="n">
        <v>12247.6</v>
      </c>
      <c r="BH3" s="53" t="n">
        <v>12247.6</v>
      </c>
      <c r="BI3" s="53">
        <f>$BG$3-$BF$3</f>
        <v/>
      </c>
      <c r="BJ3" s="4" t="n">
        <v>29099.08</v>
      </c>
      <c r="BK3" s="4" t="n">
        <v>29099.08</v>
      </c>
      <c r="BL3" t="inlineStr">
        <is>
          <t xml:space="preserve"> Match=0 but Roth or Deferral &gt;0. </t>
        </is>
      </c>
    </row>
    <row r="4" ht="13.5" customFormat="1" customHeight="1" s="7" thickBot="1">
      <c r="A4" s="7" t="n">
        <v>2</v>
      </c>
      <c r="B4" s="8" t="inlineStr">
        <is>
          <t>Total HCE's</t>
        </is>
      </c>
      <c r="C4" s="8" t="n"/>
      <c r="D4" s="8" t="n"/>
      <c r="E4" s="9" t="n"/>
      <c r="F4" s="37" t="n"/>
      <c r="G4" s="37" t="n"/>
      <c r="H4" s="25" t="n"/>
      <c r="I4" s="25" t="n"/>
      <c r="J4" s="9" t="n"/>
      <c r="K4" s="37" t="n"/>
      <c r="L4" s="37" t="n"/>
      <c r="M4" s="25" t="n"/>
      <c r="N4" s="25" t="n"/>
      <c r="O4" s="9" t="n"/>
      <c r="Q4" s="37" t="n"/>
      <c r="R4" s="37" t="n"/>
      <c r="S4" s="25" t="n"/>
      <c r="T4" s="25" t="n"/>
      <c r="V4" s="38" t="n"/>
      <c r="W4" s="38" t="n"/>
      <c r="X4" s="26" t="n"/>
      <c r="Y4" s="26" t="n"/>
      <c r="AA4" s="38" t="n"/>
      <c r="AB4" s="38" t="n"/>
      <c r="AC4" s="26" t="n"/>
      <c r="AD4" s="26" t="n"/>
      <c r="AE4" s="8" t="n"/>
      <c r="AF4" s="8" t="n"/>
      <c r="AG4" s="10" t="n"/>
      <c r="AH4" s="8" t="n"/>
      <c r="AI4" s="8" t="n"/>
      <c r="AJ4" s="11">
        <f>SUM(AJ2:AJ3)</f>
        <v/>
      </c>
      <c r="AK4" s="12">
        <f>SUM(AK2:AK3)</f>
        <v/>
      </c>
      <c r="AL4" s="42">
        <f>SUM(AL2:AL3)</f>
        <v/>
      </c>
      <c r="AM4" s="42">
        <f>SUM(AM2:AM3)</f>
        <v/>
      </c>
      <c r="AN4" s="12">
        <f>SUM(AN2:AN3)</f>
        <v/>
      </c>
      <c r="AO4" s="30">
        <f>SUM(AO2:AO3)</f>
        <v/>
      </c>
      <c r="AP4" s="30">
        <f>SUM(AP2:AP3)</f>
        <v/>
      </c>
      <c r="AQ4" s="11">
        <f>SUM(AQ2:AQ3)</f>
        <v/>
      </c>
      <c r="AR4" s="48">
        <f>SUM(AR2:AR3)</f>
        <v/>
      </c>
      <c r="AS4" s="48">
        <f>SUM(AS2:AS3)</f>
        <v/>
      </c>
      <c r="AT4" s="11">
        <f>SUM(AT2:AT3)</f>
        <v/>
      </c>
      <c r="AU4" s="11">
        <f>SUM(AU2:AU3)</f>
        <v/>
      </c>
      <c r="AV4" s="48">
        <f>SUM(AV2:AV3)</f>
        <v/>
      </c>
      <c r="AW4" s="48">
        <f>SUM(AW2:AW3)</f>
        <v/>
      </c>
      <c r="AX4" s="11">
        <f>SUM(AX2:AX3)</f>
        <v/>
      </c>
      <c r="AY4" s="48">
        <f>SUM(AY2:AY3)</f>
        <v/>
      </c>
      <c r="AZ4" s="48">
        <f>SUM(AZ2:AZ3)</f>
        <v/>
      </c>
      <c r="BA4" s="11">
        <f>SUM(BA2:BA3)</f>
        <v/>
      </c>
      <c r="BB4" s="11">
        <f>SUM(BB2:BB3)</f>
        <v/>
      </c>
      <c r="BC4" s="11">
        <f>SUM(BC2:BC3)</f>
        <v/>
      </c>
      <c r="BD4" s="11">
        <f>SUM(BD2:BD3)</f>
        <v/>
      </c>
      <c r="BE4" s="48">
        <f>SUM(BE2:BE3)</f>
        <v/>
      </c>
      <c r="BF4" s="48">
        <f>SUM(BF2:BF3)</f>
        <v/>
      </c>
      <c r="BG4" s="13">
        <f>SUM(BG2:BG3)</f>
        <v/>
      </c>
      <c r="BH4" s="54">
        <f>SUM(BH2:BH3)</f>
        <v/>
      </c>
      <c r="BI4" s="54">
        <f>SUM(BI2:BI3)</f>
        <v/>
      </c>
      <c r="BJ4" s="11">
        <f>SUM(BJ2:BJ3)</f>
        <v/>
      </c>
      <c r="BK4" s="11">
        <f>SUM(BK2:BK3)</f>
        <v/>
      </c>
      <c r="BL4" s="7">
        <f>SUM(BL2:BL3)</f>
        <v/>
      </c>
    </row>
    <row r="5" ht="12.95" customHeight="1" thickTop="1">
      <c r="B5" s="1" t="n"/>
      <c r="C5" s="1" t="n"/>
      <c r="D5" s="1" t="n"/>
      <c r="E5" s="2" t="n"/>
      <c r="F5" s="36" t="n"/>
      <c r="G5" s="36" t="n"/>
      <c r="H5" s="24" t="n"/>
      <c r="I5" s="24" t="n"/>
      <c r="J5" s="2" t="n"/>
      <c r="K5" s="36" t="n"/>
      <c r="L5" s="36" t="n"/>
      <c r="M5" s="24" t="n"/>
      <c r="N5" s="24" t="n"/>
      <c r="O5" s="2" t="n"/>
      <c r="Q5" s="36" t="n"/>
      <c r="R5" s="36" t="n"/>
      <c r="S5" s="24" t="n"/>
      <c r="T5" s="24" t="n"/>
      <c r="AE5" s="1" t="n"/>
      <c r="AF5" s="1" t="n"/>
      <c r="AG5" s="3" t="n"/>
      <c r="AH5" s="1" t="n"/>
      <c r="AI5" s="1" t="n"/>
      <c r="AJ5" s="4" t="n"/>
      <c r="AK5" s="5" t="n"/>
      <c r="AL5" s="41" t="n"/>
      <c r="AM5" s="41" t="n"/>
      <c r="AN5" s="5" t="n"/>
      <c r="AO5" s="29" t="n"/>
      <c r="AP5" s="29" t="n"/>
      <c r="AQ5" s="4" t="n"/>
      <c r="AR5" s="47" t="n"/>
      <c r="AS5" s="47" t="n"/>
      <c r="AT5" s="4" t="n"/>
      <c r="AU5" s="4" t="n"/>
      <c r="AV5" s="47" t="n"/>
      <c r="AW5" s="47" t="n"/>
      <c r="AX5" s="4" t="n"/>
      <c r="AY5" s="47" t="n"/>
      <c r="AZ5" s="47" t="n"/>
      <c r="BA5" s="4" t="n"/>
      <c r="BB5" s="4" t="n"/>
      <c r="BC5" s="4" t="n"/>
      <c r="BD5" s="4" t="n"/>
      <c r="BE5" s="47" t="n"/>
      <c r="BF5" s="47" t="n"/>
      <c r="BG5" s="6" t="n"/>
      <c r="BH5" s="53" t="n"/>
      <c r="BI5" s="53" t="n"/>
      <c r="BJ5" s="4" t="n"/>
      <c r="BK5" s="4" t="n"/>
    </row>
    <row r="6">
      <c r="A6" t="n">
        <v>1</v>
      </c>
      <c r="B6" s="1" t="n"/>
      <c r="C6" s="1" t="n"/>
      <c r="D6" s="1" t="inlineStr"/>
      <c r="E6" s="2" t="n">
        <v>21589</v>
      </c>
      <c r="F6" s="36" t="n">
        <v>21589</v>
      </c>
      <c r="G6" s="36" t="b">
        <v>1</v>
      </c>
      <c r="H6" s="24" t="n">
        <v>21589</v>
      </c>
      <c r="I6" s="24" t="b">
        <v>1</v>
      </c>
      <c r="J6" s="2" t="n">
        <v>31072</v>
      </c>
      <c r="K6" s="36" t="n">
        <v>31072</v>
      </c>
      <c r="L6" s="36" t="b">
        <v>1</v>
      </c>
      <c r="M6" s="24" t="n">
        <v>31072</v>
      </c>
      <c r="N6" s="24" t="b">
        <v>1</v>
      </c>
      <c r="O6" s="2" t="n">
        <v>35765</v>
      </c>
      <c r="P6" t="inlineStr">
        <is>
          <t>Processed</t>
        </is>
      </c>
      <c r="Q6" s="36" t="n">
        <v>31168</v>
      </c>
      <c r="R6" s="36" t="b">
        <v>0</v>
      </c>
      <c r="S6" s="24" t="n">
        <v>35765</v>
      </c>
      <c r="T6" s="24" t="b">
        <v>1</v>
      </c>
      <c r="W6" s="39" t="b">
        <v>1</v>
      </c>
      <c r="Y6" s="27" t="b">
        <v>1</v>
      </c>
      <c r="AB6" s="39" t="b">
        <v>1</v>
      </c>
      <c r="AD6" s="27" t="b">
        <v>1</v>
      </c>
      <c r="AE6" s="1" t="inlineStr">
        <is>
          <t>A</t>
        </is>
      </c>
      <c r="AF6" s="1" t="inlineStr">
        <is>
          <t>N</t>
        </is>
      </c>
      <c r="AG6" s="3" t="n">
        <v>0</v>
      </c>
      <c r="AH6" s="1" t="inlineStr">
        <is>
          <t>N</t>
        </is>
      </c>
      <c r="AI6" s="1" t="inlineStr">
        <is>
          <t>N</t>
        </is>
      </c>
      <c r="AJ6" s="4" t="n">
        <v>422164.98</v>
      </c>
      <c r="AK6" s="5" t="n">
        <v>2090.41</v>
      </c>
      <c r="AL6" s="41" t="n">
        <v>2090.41</v>
      </c>
      <c r="AM6" s="41">
        <f>IF(AND(ISNUMBER($AK$6), ISNUMBER($AJ$6)), IF(($AK$6 - $AJ$6)&lt;=1, 0, ($AK$6 - $AJ$6)), "")</f>
        <v/>
      </c>
      <c r="AN6" s="5" t="n">
        <v>38</v>
      </c>
      <c r="AO6" s="29" t="n">
        <v>37</v>
      </c>
      <c r="AP6" s="29" t="b">
        <v>1</v>
      </c>
      <c r="AQ6" s="4" t="n">
        <v>55960.3</v>
      </c>
      <c r="AR6" s="47" t="n">
        <v>53562.03</v>
      </c>
      <c r="AS6" s="47">
        <f>$AQ$6-$AP$6</f>
        <v/>
      </c>
      <c r="AT6" s="4" t="n">
        <v>55960.3</v>
      </c>
      <c r="AU6" s="4" t="n">
        <v>1581.91</v>
      </c>
      <c r="AV6" s="47" t="n">
        <v>1581.91</v>
      </c>
      <c r="AW6" s="47">
        <f>$AU$6-$AT$6</f>
        <v/>
      </c>
      <c r="AX6" s="4" t="n">
        <v>0</v>
      </c>
      <c r="AY6" s="47" t="n">
        <v>0</v>
      </c>
      <c r="AZ6" s="47">
        <f>$AX$6-$AW$6</f>
        <v/>
      </c>
      <c r="BA6" s="4" t="n">
        <v>1581.91</v>
      </c>
      <c r="BB6" s="4" t="n">
        <v>0</v>
      </c>
      <c r="BC6" s="4" t="n">
        <v>1581.91</v>
      </c>
      <c r="BD6" s="4" t="n">
        <v>1581.91</v>
      </c>
      <c r="BE6" s="47" t="n">
        <v>1581.91</v>
      </c>
      <c r="BF6" s="47">
        <f>$BD$6-$BC$6</f>
        <v/>
      </c>
      <c r="BG6" s="6" t="n">
        <v>3749.34</v>
      </c>
      <c r="BH6" s="53" t="n">
        <v>3691.11</v>
      </c>
      <c r="BI6" s="53">
        <f>$BG$6-$BF$6</f>
        <v/>
      </c>
      <c r="BJ6" s="4" t="n">
        <v>6913.16</v>
      </c>
      <c r="BK6" s="4" t="n">
        <v>6913.16</v>
      </c>
      <c r="BL6" t="inlineStr">
        <is>
          <t xml:space="preserve"> Match=0 but Roth or Deferral &gt;0. </t>
        </is>
      </c>
    </row>
    <row r="7">
      <c r="A7" t="n">
        <v>2</v>
      </c>
      <c r="B7" s="1" t="n"/>
      <c r="C7" s="1" t="n"/>
      <c r="D7" s="1" t="inlineStr"/>
      <c r="E7" s="2" t="n">
        <v>21197</v>
      </c>
      <c r="F7" s="36" t="n">
        <v>21197</v>
      </c>
      <c r="G7" s="36" t="b">
        <v>1</v>
      </c>
      <c r="H7" s="24" t="n">
        <v>21197</v>
      </c>
      <c r="I7" s="24" t="b">
        <v>1</v>
      </c>
      <c r="J7" s="2" t="n">
        <v>33756</v>
      </c>
      <c r="K7" s="36" t="n">
        <v>33756</v>
      </c>
      <c r="L7" s="36" t="b">
        <v>1</v>
      </c>
      <c r="M7" s="24" t="n">
        <v>33756</v>
      </c>
      <c r="N7" s="24" t="b">
        <v>1</v>
      </c>
      <c r="O7" s="2" t="n">
        <v>35765</v>
      </c>
      <c r="P7" t="inlineStr">
        <is>
          <t>Processed</t>
        </is>
      </c>
      <c r="Q7" s="36" t="n">
        <v>35765</v>
      </c>
      <c r="R7" s="36" t="b">
        <v>1</v>
      </c>
      <c r="S7" s="24" t="n">
        <v>35765</v>
      </c>
      <c r="T7" s="24" t="b">
        <v>1</v>
      </c>
      <c r="W7" s="39" t="b">
        <v>1</v>
      </c>
      <c r="Y7" s="27" t="b">
        <v>1</v>
      </c>
      <c r="AB7" s="39" t="b">
        <v>1</v>
      </c>
      <c r="AD7" s="27" t="b">
        <v>1</v>
      </c>
      <c r="AE7" s="1" t="inlineStr">
        <is>
          <t>A</t>
        </is>
      </c>
      <c r="AF7" s="1" t="inlineStr">
        <is>
          <t>N</t>
        </is>
      </c>
      <c r="AG7" s="3" t="n">
        <v>0</v>
      </c>
      <c r="AH7" s="1" t="inlineStr">
        <is>
          <t>N</t>
        </is>
      </c>
      <c r="AI7" s="1" t="inlineStr">
        <is>
          <t>N</t>
        </is>
      </c>
      <c r="AJ7" s="4" t="n">
        <v>625216.21</v>
      </c>
      <c r="AK7" s="5" t="n">
        <v>2052.56</v>
      </c>
      <c r="AL7" s="41" t="n">
        <v>2052.56</v>
      </c>
      <c r="AM7" s="41">
        <f>IF(AND(ISNUMBER($AK$7), ISNUMBER($AJ$7)), IF(($AK$7 - $AJ$7)&lt;=1, 0, ($AK$7 - $AJ$7)), "")</f>
        <v/>
      </c>
      <c r="AN7" s="5" t="n">
        <v>32</v>
      </c>
      <c r="AO7" s="29" t="n">
        <v>31</v>
      </c>
      <c r="AP7" s="29" t="b">
        <v>1</v>
      </c>
      <c r="AQ7" s="4" t="n">
        <v>55899.8</v>
      </c>
      <c r="AR7" s="47" t="n">
        <v>55899.8</v>
      </c>
      <c r="AS7" s="47">
        <f>$AQ$7-$AP$7</f>
        <v/>
      </c>
      <c r="AT7" s="4" t="n">
        <v>55899.8</v>
      </c>
      <c r="AU7" s="4" t="n">
        <v>16984.2</v>
      </c>
      <c r="AV7" s="47" t="n">
        <v>16984.2</v>
      </c>
      <c r="AW7" s="47">
        <f>$AU$7-$AT$7</f>
        <v/>
      </c>
      <c r="AX7" s="4" t="n">
        <v>2758.94</v>
      </c>
      <c r="AY7" s="47" t="n">
        <v>2758.94</v>
      </c>
      <c r="AZ7" s="47">
        <f>$AX$7-$AW$7</f>
        <v/>
      </c>
      <c r="BA7" s="4" t="n">
        <v>19743.14</v>
      </c>
      <c r="BB7" s="4" t="n">
        <v>0</v>
      </c>
      <c r="BC7" s="4" t="n">
        <v>19743.14</v>
      </c>
      <c r="BD7" s="4" t="n">
        <v>1670.49</v>
      </c>
      <c r="BE7" s="47" t="n">
        <v>1670.49</v>
      </c>
      <c r="BF7" s="47">
        <f>$BD$7-$BC$7</f>
        <v/>
      </c>
      <c r="BG7" s="6" t="n">
        <v>3611.13</v>
      </c>
      <c r="BH7" s="53" t="n">
        <v>3564.55</v>
      </c>
      <c r="BI7" s="53">
        <f>$BG$7-$BF$7</f>
        <v/>
      </c>
      <c r="BJ7" s="4" t="n">
        <v>25024.76</v>
      </c>
      <c r="BK7" s="4" t="n">
        <v>25024.76</v>
      </c>
      <c r="BL7" t="inlineStr">
        <is>
          <t xml:space="preserve"> Match=0 but Roth or Deferral &gt;0. </t>
        </is>
      </c>
    </row>
    <row r="8">
      <c r="A8" t="n">
        <v>3</v>
      </c>
      <c r="B8" s="1" t="n"/>
      <c r="C8" s="1" t="n"/>
      <c r="D8" s="1" t="inlineStr"/>
      <c r="E8" s="2" t="n">
        <v>25231</v>
      </c>
      <c r="F8" s="36" t="n">
        <v>25231</v>
      </c>
      <c r="G8" s="36" t="b">
        <v>1</v>
      </c>
      <c r="H8" s="24" t="n">
        <v>25231</v>
      </c>
      <c r="I8" s="24" t="b">
        <v>1</v>
      </c>
      <c r="J8" s="2" t="n">
        <v>33757</v>
      </c>
      <c r="K8" s="36" t="n">
        <v>33757</v>
      </c>
      <c r="L8" s="36" t="b">
        <v>1</v>
      </c>
      <c r="M8" s="24" t="n">
        <v>33757</v>
      </c>
      <c r="N8" s="24" t="b">
        <v>1</v>
      </c>
      <c r="O8" s="2" t="n">
        <v>41526</v>
      </c>
      <c r="P8" t="inlineStr">
        <is>
          <t>Processed</t>
        </is>
      </c>
      <c r="Q8" s="36" t="n">
        <v>41526</v>
      </c>
      <c r="R8" s="36" t="b">
        <v>1</v>
      </c>
      <c r="S8" s="24" t="n">
        <v>41526</v>
      </c>
      <c r="T8" s="24" t="b">
        <v>1</v>
      </c>
      <c r="V8" s="40" t="n">
        <v>41472</v>
      </c>
      <c r="W8" s="39" t="b">
        <v>0</v>
      </c>
      <c r="X8" s="28" t="n">
        <v>41472</v>
      </c>
      <c r="Y8" s="27" t="b">
        <v>0</v>
      </c>
      <c r="Z8" s="2" t="n">
        <v>41526</v>
      </c>
      <c r="AA8" s="36" t="n">
        <v>41526</v>
      </c>
      <c r="AB8" s="36" t="b">
        <v>1</v>
      </c>
      <c r="AC8" s="24" t="n">
        <v>41526</v>
      </c>
      <c r="AD8" s="24" t="b">
        <v>1</v>
      </c>
      <c r="AE8" s="1" t="inlineStr">
        <is>
          <t>A</t>
        </is>
      </c>
      <c r="AF8" s="1" t="inlineStr">
        <is>
          <t>N</t>
        </is>
      </c>
      <c r="AG8" s="3" t="n">
        <v>0</v>
      </c>
      <c r="AH8" s="1" t="inlineStr">
        <is>
          <t>N</t>
        </is>
      </c>
      <c r="AI8" s="1" t="inlineStr">
        <is>
          <t>N</t>
        </is>
      </c>
      <c r="AJ8" s="4" t="n">
        <v>341409.27</v>
      </c>
      <c r="AK8" s="5" t="n">
        <v>2120.7</v>
      </c>
      <c r="AL8" s="41" t="n">
        <v>2120.7</v>
      </c>
      <c r="AM8" s="41">
        <f>IF(AND(ISNUMBER($AK$8), ISNUMBER($AJ$8)), IF(($AK$8 - $AJ$8)&lt;=1, 0, ($AK$8 - $AJ$8)), "")</f>
        <v/>
      </c>
      <c r="AN8" s="5" t="n">
        <v>30</v>
      </c>
      <c r="AO8" s="29" t="n">
        <v>29</v>
      </c>
      <c r="AP8" s="29" t="b">
        <v>1</v>
      </c>
      <c r="AQ8" s="4" t="n">
        <v>56854.04</v>
      </c>
      <c r="AR8" s="47" t="n">
        <v>56854.04</v>
      </c>
      <c r="AS8" s="47">
        <f>$AQ$8-$AP$8</f>
        <v/>
      </c>
      <c r="AT8" s="4" t="n">
        <v>56854.04</v>
      </c>
      <c r="AU8" s="4" t="n">
        <v>15608.09</v>
      </c>
      <c r="AV8" s="47" t="n">
        <v>15608.09</v>
      </c>
      <c r="AW8" s="47">
        <f>$AU$8-$AT$8</f>
        <v/>
      </c>
      <c r="AX8" s="4" t="n">
        <v>0</v>
      </c>
      <c r="AY8" s="47" t="n">
        <v>0</v>
      </c>
      <c r="AZ8" s="47">
        <f>$AX$8-$AW$8</f>
        <v/>
      </c>
      <c r="BA8" s="4" t="n">
        <v>15608.09</v>
      </c>
      <c r="BB8" s="4" t="n">
        <v>0</v>
      </c>
      <c r="BC8" s="4" t="n">
        <v>15608.09</v>
      </c>
      <c r="BD8" s="4" t="n">
        <v>1699.12</v>
      </c>
      <c r="BE8" s="47" t="n">
        <v>1699.12</v>
      </c>
      <c r="BF8" s="47">
        <f>$BD$8-$BC$8</f>
        <v/>
      </c>
      <c r="BG8" s="6" t="n">
        <v>3672.77</v>
      </c>
      <c r="BH8" s="53" t="n">
        <v>3642.26</v>
      </c>
      <c r="BI8" s="53">
        <f>$BG$8-$BF$8</f>
        <v/>
      </c>
      <c r="BJ8" s="4" t="n">
        <v>20979.98</v>
      </c>
      <c r="BK8" s="4" t="n">
        <v>20979.98</v>
      </c>
      <c r="BL8" t="inlineStr">
        <is>
          <t xml:space="preserve"> Match=0 but Roth or Deferral &gt;0. </t>
        </is>
      </c>
    </row>
    <row r="9">
      <c r="A9" t="n">
        <v>4</v>
      </c>
      <c r="B9" s="1" t="n"/>
      <c r="C9" s="1" t="n"/>
      <c r="D9" s="1" t="inlineStr"/>
      <c r="E9" s="2" t="n">
        <v>23052</v>
      </c>
      <c r="F9" s="36" t="n">
        <v>23052</v>
      </c>
      <c r="G9" s="36" t="b">
        <v>1</v>
      </c>
      <c r="H9" s="24" t="n">
        <v>23052</v>
      </c>
      <c r="I9" s="24" t="b">
        <v>1</v>
      </c>
      <c r="J9" s="2" t="n">
        <v>33939</v>
      </c>
      <c r="K9" s="36" t="n">
        <v>33939</v>
      </c>
      <c r="L9" s="36" t="b">
        <v>1</v>
      </c>
      <c r="M9" s="24" t="n">
        <v>33939</v>
      </c>
      <c r="N9" s="24" t="b">
        <v>1</v>
      </c>
      <c r="O9" s="2" t="n">
        <v>35765</v>
      </c>
      <c r="P9" t="inlineStr">
        <is>
          <t>Processed</t>
        </is>
      </c>
      <c r="Q9" s="36" t="n">
        <v>35765</v>
      </c>
      <c r="R9" s="36" t="b">
        <v>1</v>
      </c>
      <c r="S9" s="24" t="n">
        <v>35765</v>
      </c>
      <c r="T9" s="24" t="b">
        <v>1</v>
      </c>
      <c r="W9" s="39" t="b">
        <v>1</v>
      </c>
      <c r="Y9" s="27" t="b">
        <v>1</v>
      </c>
      <c r="AB9" s="39" t="b">
        <v>1</v>
      </c>
      <c r="AD9" s="27" t="b">
        <v>1</v>
      </c>
      <c r="AE9" s="1" t="inlineStr">
        <is>
          <t>A</t>
        </is>
      </c>
      <c r="AF9" s="1" t="inlineStr">
        <is>
          <t>N</t>
        </is>
      </c>
      <c r="AG9" s="3" t="n">
        <v>0</v>
      </c>
      <c r="AH9" s="1" t="inlineStr">
        <is>
          <t>N</t>
        </is>
      </c>
      <c r="AI9" s="1" t="inlineStr">
        <is>
          <t>N</t>
        </is>
      </c>
      <c r="AJ9" s="4" t="n">
        <v>345954.23</v>
      </c>
      <c r="AK9" s="5" t="n">
        <v>2046.43</v>
      </c>
      <c r="AL9" s="41" t="n">
        <v>2046.43</v>
      </c>
      <c r="AM9" s="41">
        <f>IF(AND(ISNUMBER($AK$9), ISNUMBER($AJ$9)), IF(($AK$9 - $AJ$9)&lt;=1, 0, ($AK$9 - $AJ$9)), "")</f>
        <v/>
      </c>
      <c r="AN9" s="5" t="n">
        <v>31</v>
      </c>
      <c r="AO9" s="29" t="n">
        <v>30</v>
      </c>
      <c r="AP9" s="29" t="b">
        <v>1</v>
      </c>
      <c r="AQ9" s="4" t="n">
        <v>54465.07</v>
      </c>
      <c r="AR9" s="47" t="n">
        <v>54465.07</v>
      </c>
      <c r="AS9" s="47">
        <f>$AQ$9-$AP$9</f>
        <v/>
      </c>
      <c r="AT9" s="4" t="n">
        <v>54465.07</v>
      </c>
      <c r="AU9" s="4" t="n">
        <v>4837.33</v>
      </c>
      <c r="AV9" s="47" t="n">
        <v>4837.33</v>
      </c>
      <c r="AW9" s="47">
        <f>$AU$9-$AT$9</f>
        <v/>
      </c>
      <c r="AX9" s="4" t="n">
        <v>4294.87</v>
      </c>
      <c r="AY9" s="47" t="n">
        <v>4294.87</v>
      </c>
      <c r="AZ9" s="47">
        <f>$AX$9-$AW$9</f>
        <v/>
      </c>
      <c r="BA9" s="4" t="n">
        <v>9132.200000000001</v>
      </c>
      <c r="BB9" s="4" t="n">
        <v>0</v>
      </c>
      <c r="BC9" s="4" t="n">
        <v>9132.200000000001</v>
      </c>
      <c r="BD9" s="4" t="n">
        <v>1627.44</v>
      </c>
      <c r="BE9" s="47" t="n">
        <v>1627.44</v>
      </c>
      <c r="BF9" s="47">
        <f>$BD$9-$BC$9</f>
        <v/>
      </c>
      <c r="BG9" s="6" t="n">
        <v>3518.44</v>
      </c>
      <c r="BH9" s="53" t="n">
        <v>3504.44</v>
      </c>
      <c r="BI9" s="53">
        <f>$BG$9-$BF$9</f>
        <v/>
      </c>
      <c r="BJ9" s="4" t="n">
        <v>14278.08</v>
      </c>
      <c r="BK9" s="4" t="n">
        <v>14278.08</v>
      </c>
      <c r="BL9" t="inlineStr">
        <is>
          <t xml:space="preserve"> Match=0 but Roth or Deferral &gt;0. </t>
        </is>
      </c>
    </row>
    <row r="10">
      <c r="A10" t="n">
        <v>5</v>
      </c>
      <c r="B10" s="1" t="n"/>
      <c r="C10" s="1" t="n"/>
      <c r="D10" s="1" t="inlineStr"/>
      <c r="E10" s="2" t="n">
        <v>24878</v>
      </c>
      <c r="F10" s="36" t="n">
        <v>24878</v>
      </c>
      <c r="G10" s="36" t="b">
        <v>1</v>
      </c>
      <c r="H10" s="24" t="n">
        <v>24878</v>
      </c>
      <c r="I10" s="24" t="b">
        <v>1</v>
      </c>
      <c r="J10" s="2" t="n">
        <v>34849</v>
      </c>
      <c r="K10" s="36" t="n">
        <v>34849</v>
      </c>
      <c r="L10" s="36" t="b">
        <v>1</v>
      </c>
      <c r="M10" s="24" t="n">
        <v>34849</v>
      </c>
      <c r="N10" s="24" t="b">
        <v>1</v>
      </c>
      <c r="O10" s="2" t="n">
        <v>35765</v>
      </c>
      <c r="P10" t="inlineStr">
        <is>
          <t>Processed</t>
        </is>
      </c>
      <c r="Q10" s="36" t="n">
        <v>35765</v>
      </c>
      <c r="R10" s="36" t="b">
        <v>1</v>
      </c>
      <c r="S10" s="24" t="n">
        <v>35765</v>
      </c>
      <c r="T10" s="24" t="b">
        <v>1</v>
      </c>
      <c r="W10" s="39" t="b">
        <v>1</v>
      </c>
      <c r="Y10" s="27" t="b">
        <v>1</v>
      </c>
      <c r="AB10" s="39" t="b">
        <v>1</v>
      </c>
      <c r="AD10" s="27" t="b">
        <v>1</v>
      </c>
      <c r="AE10" s="1" t="inlineStr">
        <is>
          <t>A</t>
        </is>
      </c>
      <c r="AF10" s="1" t="inlineStr">
        <is>
          <t>N</t>
        </is>
      </c>
      <c r="AG10" s="3" t="n">
        <v>0</v>
      </c>
      <c r="AH10" s="1" t="inlineStr">
        <is>
          <t>N</t>
        </is>
      </c>
      <c r="AI10" s="1" t="inlineStr">
        <is>
          <t>N</t>
        </is>
      </c>
      <c r="AJ10" s="4" t="n">
        <v>295778.72</v>
      </c>
      <c r="AK10" s="5" t="n">
        <v>2122.62</v>
      </c>
      <c r="AL10" s="41" t="n">
        <v>2122.62</v>
      </c>
      <c r="AM10" s="41">
        <f>IF(AND(ISNUMBER($AK$10), ISNUMBER($AJ$10)), IF(($AK$10 - $AJ$10)&lt;=1, 0, ($AK$10 - $AJ$10)), "")</f>
        <v/>
      </c>
      <c r="AN10" s="5" t="n">
        <v>29</v>
      </c>
      <c r="AO10" s="29" t="n">
        <v>28</v>
      </c>
      <c r="AP10" s="29" t="b">
        <v>1</v>
      </c>
      <c r="AQ10" s="4" t="n">
        <v>59329.04</v>
      </c>
      <c r="AR10" s="47" t="n">
        <v>56973.94</v>
      </c>
      <c r="AS10" s="47">
        <f>$AQ$10-$AP$10</f>
        <v/>
      </c>
      <c r="AT10" s="4" t="n">
        <v>59329.04</v>
      </c>
      <c r="AU10" s="4" t="n">
        <v>2846.08</v>
      </c>
      <c r="AV10" s="47" t="n">
        <v>2846.08</v>
      </c>
      <c r="AW10" s="47">
        <f>$AU$10-$AT$10</f>
        <v/>
      </c>
      <c r="AX10" s="4" t="n">
        <v>0</v>
      </c>
      <c r="AY10" s="47" t="n">
        <v>0</v>
      </c>
      <c r="AZ10" s="47">
        <f>$AX$10-$AW$10</f>
        <v/>
      </c>
      <c r="BA10" s="4" t="n">
        <v>2846.08</v>
      </c>
      <c r="BB10" s="4" t="n">
        <v>0</v>
      </c>
      <c r="BC10" s="4" t="n">
        <v>2846.08</v>
      </c>
      <c r="BD10" s="4" t="n">
        <v>1702.72</v>
      </c>
      <c r="BE10" s="47" t="n">
        <v>1702.72</v>
      </c>
      <c r="BF10" s="47">
        <f>$BD$10-$BC$10</f>
        <v/>
      </c>
      <c r="BG10" s="6" t="n">
        <v>3680.52</v>
      </c>
      <c r="BH10" s="53" t="n">
        <v>3650.04</v>
      </c>
      <c r="BI10" s="53">
        <f>$BG$10-$BF$10</f>
        <v/>
      </c>
      <c r="BJ10" s="4" t="n">
        <v>8229.32</v>
      </c>
      <c r="BK10" s="4" t="n">
        <v>8229.32</v>
      </c>
      <c r="BL10" t="inlineStr">
        <is>
          <t xml:space="preserve"> Match=0 but Roth or Deferral &gt;0. </t>
        </is>
      </c>
    </row>
    <row r="11">
      <c r="A11" t="n">
        <v>6</v>
      </c>
      <c r="B11" s="1" t="n"/>
      <c r="C11" s="1" t="n"/>
      <c r="D11" s="1" t="inlineStr"/>
      <c r="E11" s="2" t="n">
        <v>26416</v>
      </c>
      <c r="F11" s="36" t="n">
        <v>26416</v>
      </c>
      <c r="G11" s="36" t="b">
        <v>1</v>
      </c>
      <c r="H11" s="24" t="n">
        <v>26416</v>
      </c>
      <c r="I11" s="24" t="b">
        <v>1</v>
      </c>
      <c r="J11" s="2" t="n">
        <v>35765</v>
      </c>
      <c r="K11" s="36" t="n">
        <v>35765</v>
      </c>
      <c r="L11" s="36" t="b">
        <v>1</v>
      </c>
      <c r="M11" s="24" t="n">
        <v>35765</v>
      </c>
      <c r="N11" s="24" t="b">
        <v>1</v>
      </c>
      <c r="O11" s="2" t="n">
        <v>35855</v>
      </c>
      <c r="P11" t="inlineStr">
        <is>
          <t>Processed</t>
        </is>
      </c>
      <c r="Q11" s="36" t="n">
        <v>35855</v>
      </c>
      <c r="R11" s="36" t="b">
        <v>1</v>
      </c>
      <c r="S11" s="24" t="n">
        <v>35855</v>
      </c>
      <c r="T11" s="24" t="b">
        <v>1</v>
      </c>
      <c r="W11" s="39" t="b">
        <v>1</v>
      </c>
      <c r="Y11" s="27" t="b">
        <v>1</v>
      </c>
      <c r="AB11" s="39" t="b">
        <v>1</v>
      </c>
      <c r="AD11" s="27" t="b">
        <v>1</v>
      </c>
      <c r="AE11" s="1" t="inlineStr">
        <is>
          <t>A</t>
        </is>
      </c>
      <c r="AF11" s="1" t="inlineStr">
        <is>
          <t>N</t>
        </is>
      </c>
      <c r="AG11" s="3" t="n">
        <v>0</v>
      </c>
      <c r="AH11" s="1" t="inlineStr">
        <is>
          <t>N</t>
        </is>
      </c>
      <c r="AI11" s="1" t="inlineStr">
        <is>
          <t>N</t>
        </is>
      </c>
      <c r="AJ11" s="4" t="n">
        <v>409093.94</v>
      </c>
      <c r="AK11" s="5" t="n">
        <v>2082</v>
      </c>
      <c r="AL11" s="41" t="n">
        <v>2082</v>
      </c>
      <c r="AM11" s="41">
        <f>IF(AND(ISNUMBER($AK$11), ISNUMBER($AJ$11)), IF(($AK$11 - $AJ$11)&lt;=1, 0, ($AK$11 - $AJ$11)), "")</f>
        <v/>
      </c>
      <c r="AN11" s="5" t="n">
        <v>27</v>
      </c>
      <c r="AO11" s="29" t="n">
        <v>26</v>
      </c>
      <c r="AP11" s="29" t="b">
        <v>1</v>
      </c>
      <c r="AQ11" s="4" t="n">
        <v>74847.71000000001</v>
      </c>
      <c r="AR11" s="47" t="n">
        <v>72164.46000000001</v>
      </c>
      <c r="AS11" s="47">
        <f>$AQ$11-$AP$11</f>
        <v/>
      </c>
      <c r="AT11" s="4" t="n">
        <v>74847.71000000001</v>
      </c>
      <c r="AU11" s="4" t="n">
        <v>3588.16</v>
      </c>
      <c r="AV11" s="47" t="n">
        <v>3588.16</v>
      </c>
      <c r="AW11" s="47">
        <f>$AU$11-$AT$11</f>
        <v/>
      </c>
      <c r="AX11" s="4" t="n">
        <v>0</v>
      </c>
      <c r="AY11" s="47" t="n">
        <v>0</v>
      </c>
      <c r="AZ11" s="47">
        <f>$AX$11-$AW$11</f>
        <v/>
      </c>
      <c r="BA11" s="4" t="n">
        <v>3588.16</v>
      </c>
      <c r="BB11" s="4" t="n">
        <v>0</v>
      </c>
      <c r="BC11" s="4" t="n">
        <v>3588.16</v>
      </c>
      <c r="BD11" s="4" t="n">
        <v>2165</v>
      </c>
      <c r="BE11" s="47" t="n">
        <v>2165</v>
      </c>
      <c r="BF11" s="47">
        <f>$BD$11-$BC$11</f>
        <v/>
      </c>
      <c r="BG11" s="6" t="n">
        <v>5051.51</v>
      </c>
      <c r="BH11" s="53" t="n">
        <v>5023.57</v>
      </c>
      <c r="BI11" s="53">
        <f>$BG$11-$BF$11</f>
        <v/>
      </c>
      <c r="BJ11" s="4" t="n">
        <v>10804.67</v>
      </c>
      <c r="BK11" s="4" t="n">
        <v>10804.67</v>
      </c>
      <c r="BL11" t="inlineStr">
        <is>
          <t xml:space="preserve"> Match=0 but Roth or Deferral &gt;0. </t>
        </is>
      </c>
    </row>
    <row r="12">
      <c r="A12" t="n">
        <v>7</v>
      </c>
      <c r="B12" s="1" t="n"/>
      <c r="C12" s="1" t="n"/>
      <c r="D12" s="1" t="inlineStr"/>
      <c r="E12" s="2" t="n">
        <v>23818</v>
      </c>
      <c r="F12" s="36" t="n">
        <v>23818</v>
      </c>
      <c r="G12" s="36" t="b">
        <v>1</v>
      </c>
      <c r="H12" s="24" t="n">
        <v>23818</v>
      </c>
      <c r="I12" s="24" t="b">
        <v>1</v>
      </c>
      <c r="J12" s="2" t="n">
        <v>36206</v>
      </c>
      <c r="K12" s="36" t="n">
        <v>36206</v>
      </c>
      <c r="L12" s="36" t="b">
        <v>1</v>
      </c>
      <c r="M12" s="24" t="n">
        <v>36206</v>
      </c>
      <c r="N12" s="24" t="b">
        <v>1</v>
      </c>
      <c r="O12" s="2" t="n">
        <v>36312</v>
      </c>
      <c r="P12" t="inlineStr">
        <is>
          <t>Processed</t>
        </is>
      </c>
      <c r="Q12" s="36" t="n">
        <v>36312</v>
      </c>
      <c r="R12" s="36" t="b">
        <v>1</v>
      </c>
      <c r="S12" s="24" t="n">
        <v>36312</v>
      </c>
      <c r="T12" s="24" t="b">
        <v>1</v>
      </c>
      <c r="W12" s="39" t="b">
        <v>1</v>
      </c>
      <c r="Y12" s="27" t="b">
        <v>1</v>
      </c>
      <c r="AB12" s="39" t="b">
        <v>1</v>
      </c>
      <c r="AD12" s="27" t="b">
        <v>1</v>
      </c>
      <c r="AE12" s="1" t="inlineStr">
        <is>
          <t>A</t>
        </is>
      </c>
      <c r="AF12" s="1" t="inlineStr">
        <is>
          <t>N</t>
        </is>
      </c>
      <c r="AG12" s="3" t="n">
        <v>0</v>
      </c>
      <c r="AH12" s="1" t="inlineStr">
        <is>
          <t>N</t>
        </is>
      </c>
      <c r="AI12" s="1" t="inlineStr">
        <is>
          <t>N</t>
        </is>
      </c>
      <c r="AJ12" s="4" t="n">
        <v>285321.97</v>
      </c>
      <c r="AK12" s="5" t="n">
        <v>2001</v>
      </c>
      <c r="AL12" s="41" t="n">
        <v>2001.12</v>
      </c>
      <c r="AM12" s="41">
        <f>IF(AND(ISNUMBER($AK$12), ISNUMBER($AJ$12)), IF(($AK$12 - $AJ$12)&lt;=1, 0, ($AK$12 - $AJ$12)), "")</f>
        <v/>
      </c>
      <c r="AN12" s="5" t="n">
        <v>25</v>
      </c>
      <c r="AO12" s="29" t="n">
        <v>24</v>
      </c>
      <c r="AP12" s="29" t="b">
        <v>1</v>
      </c>
      <c r="AQ12" s="4" t="n">
        <v>52970.75</v>
      </c>
      <c r="AR12" s="47" t="n">
        <v>50891.76</v>
      </c>
      <c r="AS12" s="47">
        <f>$AQ$12-$AP$12</f>
        <v/>
      </c>
      <c r="AT12" s="4" t="n">
        <v>52970.75</v>
      </c>
      <c r="AU12" s="4" t="n">
        <v>8464.42</v>
      </c>
      <c r="AV12" s="47" t="n">
        <v>8464.42</v>
      </c>
      <c r="AW12" s="47">
        <f>$AU$12-$AT$12</f>
        <v/>
      </c>
      <c r="AX12" s="4" t="n">
        <v>0</v>
      </c>
      <c r="AY12" s="47" t="n">
        <v>0</v>
      </c>
      <c r="AZ12" s="47">
        <f>$AX$12-$AW$12</f>
        <v/>
      </c>
      <c r="BA12" s="4" t="n">
        <v>8464.42</v>
      </c>
      <c r="BB12" s="4" t="n">
        <v>0</v>
      </c>
      <c r="BC12" s="4" t="n">
        <v>8464.42</v>
      </c>
      <c r="BD12" s="4" t="n">
        <v>1582.63</v>
      </c>
      <c r="BE12" s="47" t="n">
        <v>1582.63</v>
      </c>
      <c r="BF12" s="47">
        <f>$BD$12-$BC$12</f>
        <v/>
      </c>
      <c r="BG12" s="6" t="n">
        <v>3562.42</v>
      </c>
      <c r="BH12" s="53" t="n">
        <v>3671.55</v>
      </c>
      <c r="BI12" s="53">
        <f>$BG$12-$BF$12</f>
        <v/>
      </c>
      <c r="BJ12" s="4" t="n">
        <v>13609.47</v>
      </c>
      <c r="BK12" s="4" t="n">
        <v>13609.47</v>
      </c>
      <c r="BL12" t="inlineStr">
        <is>
          <t xml:space="preserve"> Match=0 but Roth or Deferral &gt;0. </t>
        </is>
      </c>
    </row>
    <row r="13">
      <c r="A13" t="n">
        <v>8</v>
      </c>
      <c r="B13" s="1" t="n"/>
      <c r="C13" s="1" t="n"/>
      <c r="D13" s="1" t="inlineStr"/>
      <c r="E13" s="2" t="n">
        <v>29833</v>
      </c>
      <c r="F13" s="36" t="n">
        <v>29833</v>
      </c>
      <c r="G13" s="36" t="b">
        <v>1</v>
      </c>
      <c r="H13" s="24" t="n">
        <v>29833</v>
      </c>
      <c r="I13" s="24" t="b">
        <v>1</v>
      </c>
      <c r="J13" s="2" t="n">
        <v>36305</v>
      </c>
      <c r="K13" s="36" t="n">
        <v>36305</v>
      </c>
      <c r="L13" s="36" t="b">
        <v>1</v>
      </c>
      <c r="M13" s="24" t="n">
        <v>36305</v>
      </c>
      <c r="N13" s="24" t="b">
        <v>1</v>
      </c>
      <c r="O13" s="2" t="n">
        <v>36404</v>
      </c>
      <c r="P13" t="inlineStr">
        <is>
          <t>Processed</t>
        </is>
      </c>
      <c r="Q13" s="36" t="n">
        <v>36404</v>
      </c>
      <c r="R13" s="36" t="b">
        <v>1</v>
      </c>
      <c r="S13" s="24" t="n">
        <v>36404</v>
      </c>
      <c r="T13" s="24" t="b">
        <v>1</v>
      </c>
      <c r="W13" s="39" t="b">
        <v>1</v>
      </c>
      <c r="Y13" s="27" t="b">
        <v>1</v>
      </c>
      <c r="AB13" s="39" t="b">
        <v>1</v>
      </c>
      <c r="AD13" s="27" t="b">
        <v>1</v>
      </c>
      <c r="AE13" s="1" t="inlineStr">
        <is>
          <t>A</t>
        </is>
      </c>
      <c r="AF13" s="1" t="inlineStr">
        <is>
          <t>N</t>
        </is>
      </c>
      <c r="AG13" s="3" t="n">
        <v>0</v>
      </c>
      <c r="AH13" s="1" t="inlineStr">
        <is>
          <t>N</t>
        </is>
      </c>
      <c r="AI13" s="1" t="inlineStr">
        <is>
          <t>N</t>
        </is>
      </c>
      <c r="AJ13" s="4" t="n">
        <v>218435.92</v>
      </c>
      <c r="AK13" s="5" t="n">
        <v>2211.28</v>
      </c>
      <c r="AL13" s="41" t="n">
        <v>2211.28</v>
      </c>
      <c r="AM13" s="41">
        <f>IF(AND(ISNUMBER($AK$13), ISNUMBER($AJ$13)), IF(($AK$13 - $AJ$13)&lt;=1, 0, ($AK$13 - $AJ$13)), "")</f>
        <v/>
      </c>
      <c r="AN13" s="5" t="n">
        <v>24</v>
      </c>
      <c r="AO13" s="29" t="n">
        <v>23</v>
      </c>
      <c r="AP13" s="29" t="b">
        <v>1</v>
      </c>
      <c r="AQ13" s="4" t="n">
        <v>63703.77</v>
      </c>
      <c r="AR13" s="47" t="n">
        <v>61201.55</v>
      </c>
      <c r="AS13" s="47">
        <f>$AQ$13-$AP$13</f>
        <v/>
      </c>
      <c r="AT13" s="4" t="n">
        <v>63703.77</v>
      </c>
      <c r="AU13" s="4" t="n">
        <v>1819.31</v>
      </c>
      <c r="AV13" s="47" t="n">
        <v>1819.31</v>
      </c>
      <c r="AW13" s="47">
        <f>$AU$13-$AT$13</f>
        <v/>
      </c>
      <c r="AX13" s="4" t="n">
        <v>0</v>
      </c>
      <c r="AY13" s="47" t="n">
        <v>0</v>
      </c>
      <c r="AZ13" s="47">
        <f>$AX$13-$AW$13</f>
        <v/>
      </c>
      <c r="BA13" s="4" t="n">
        <v>1819.31</v>
      </c>
      <c r="BB13" s="4" t="n">
        <v>0</v>
      </c>
      <c r="BC13" s="4" t="n">
        <v>1819.31</v>
      </c>
      <c r="BD13" s="4" t="n">
        <v>1819.31</v>
      </c>
      <c r="BE13" s="47" t="n">
        <v>1819.31</v>
      </c>
      <c r="BF13" s="47">
        <f>$BD$13-$BC$13</f>
        <v/>
      </c>
      <c r="BG13" s="6" t="n">
        <v>3953.62</v>
      </c>
      <c r="BH13" s="53" t="n">
        <v>3917.52</v>
      </c>
      <c r="BI13" s="53">
        <f>$BG$13-$BF$13</f>
        <v/>
      </c>
      <c r="BJ13" s="4" t="n">
        <v>7592.24</v>
      </c>
      <c r="BK13" s="4" t="n">
        <v>7592.24</v>
      </c>
      <c r="BL13" t="inlineStr">
        <is>
          <t xml:space="preserve"> Match=0 but Roth or Deferral &gt;0. </t>
        </is>
      </c>
    </row>
    <row r="14">
      <c r="A14" t="n">
        <v>9</v>
      </c>
      <c r="B14" s="1" t="n"/>
      <c r="C14" s="1" t="n"/>
      <c r="D14" s="1" t="inlineStr"/>
      <c r="E14" s="2" t="n">
        <v>27536</v>
      </c>
      <c r="F14" s="36" t="n">
        <v>27536</v>
      </c>
      <c r="G14" s="36" t="b">
        <v>1</v>
      </c>
      <c r="H14" s="24" t="n">
        <v>27536</v>
      </c>
      <c r="I14" s="24" t="b">
        <v>1</v>
      </c>
      <c r="J14" s="2" t="n">
        <v>36543</v>
      </c>
      <c r="K14" s="36" t="n">
        <v>36543</v>
      </c>
      <c r="L14" s="36" t="b">
        <v>1</v>
      </c>
      <c r="M14" s="24" t="n">
        <v>36543</v>
      </c>
      <c r="N14" s="24" t="b">
        <v>1</v>
      </c>
      <c r="O14" s="2" t="n">
        <v>36647</v>
      </c>
      <c r="P14" t="inlineStr">
        <is>
          <t>Processed</t>
        </is>
      </c>
      <c r="Q14" s="36" t="n">
        <v>36647</v>
      </c>
      <c r="R14" s="36" t="b">
        <v>1</v>
      </c>
      <c r="S14" s="24" t="n">
        <v>36647</v>
      </c>
      <c r="T14" s="24" t="b">
        <v>1</v>
      </c>
      <c r="W14" s="39" t="b">
        <v>1</v>
      </c>
      <c r="Y14" s="27" t="b">
        <v>1</v>
      </c>
      <c r="AB14" s="39" t="b">
        <v>1</v>
      </c>
      <c r="AD14" s="27" t="b">
        <v>1</v>
      </c>
      <c r="AE14" s="1" t="inlineStr">
        <is>
          <t>A</t>
        </is>
      </c>
      <c r="AF14" s="1" t="inlineStr">
        <is>
          <t>N</t>
        </is>
      </c>
      <c r="AG14" s="3" t="n">
        <v>0</v>
      </c>
      <c r="AH14" s="1" t="inlineStr">
        <is>
          <t>N</t>
        </is>
      </c>
      <c r="AI14" s="1" t="inlineStr">
        <is>
          <t>N</t>
        </is>
      </c>
      <c r="AJ14" s="4" t="n">
        <v>348942.12</v>
      </c>
      <c r="AK14" s="5" t="n">
        <v>2014.99</v>
      </c>
      <c r="AL14" s="41" t="n">
        <v>2014.99</v>
      </c>
      <c r="AM14" s="41">
        <f>IF(AND(ISNUMBER($AK$14), ISNUMBER($AJ$14)), IF(($AK$14 - $AJ$14)&lt;=1, 0, ($AK$14 - $AJ$14)), "")</f>
        <v/>
      </c>
      <c r="AN14" s="5" t="n">
        <v>24</v>
      </c>
      <c r="AO14" s="29" t="n">
        <v>23</v>
      </c>
      <c r="AP14" s="29" t="b">
        <v>1</v>
      </c>
      <c r="AQ14" s="4" t="n">
        <v>54043.88</v>
      </c>
      <c r="AR14" s="47" t="n">
        <v>54043.88</v>
      </c>
      <c r="AS14" s="47">
        <f>$AQ$14-$AP$14</f>
        <v/>
      </c>
      <c r="AT14" s="4" t="n">
        <v>54043.88</v>
      </c>
      <c r="AU14" s="4" t="n">
        <v>3229.62</v>
      </c>
      <c r="AV14" s="47" t="n">
        <v>3229.62</v>
      </c>
      <c r="AW14" s="47">
        <f>$AU$14-$AT$14</f>
        <v/>
      </c>
      <c r="AX14" s="4" t="n">
        <v>0</v>
      </c>
      <c r="AY14" s="47" t="n">
        <v>0</v>
      </c>
      <c r="AZ14" s="47">
        <f>$AX$14-$AW$14</f>
        <v/>
      </c>
      <c r="BA14" s="4" t="n">
        <v>3229.62</v>
      </c>
      <c r="BB14" s="4" t="n">
        <v>0</v>
      </c>
      <c r="BC14" s="4" t="n">
        <v>3229.62</v>
      </c>
      <c r="BD14" s="4" t="n">
        <v>1614.83</v>
      </c>
      <c r="BE14" s="47" t="n">
        <v>1614.83</v>
      </c>
      <c r="BF14" s="47">
        <f>$BD$14-$BC$14</f>
        <v/>
      </c>
      <c r="BG14" s="6" t="n">
        <v>3491.23</v>
      </c>
      <c r="BH14" s="53" t="n">
        <v>3477.25</v>
      </c>
      <c r="BI14" s="53">
        <f>$BG$14-$BF$14</f>
        <v/>
      </c>
      <c r="BJ14" s="4" t="n">
        <v>8335.68</v>
      </c>
      <c r="BK14" s="4" t="n">
        <v>8335.68</v>
      </c>
      <c r="BL14" t="inlineStr">
        <is>
          <t xml:space="preserve"> Match=0 but Roth or Deferral &gt;0. </t>
        </is>
      </c>
    </row>
    <row r="15">
      <c r="A15" t="n">
        <v>10</v>
      </c>
      <c r="B15" s="1" t="n"/>
      <c r="C15" s="1" t="n"/>
      <c r="D15" s="1" t="inlineStr"/>
      <c r="E15" s="2" t="n">
        <v>27831</v>
      </c>
      <c r="F15" s="36" t="n">
        <v>27831</v>
      </c>
      <c r="G15" s="36" t="b">
        <v>1</v>
      </c>
      <c r="H15" s="24" t="n">
        <v>27831</v>
      </c>
      <c r="I15" s="24" t="b">
        <v>1</v>
      </c>
      <c r="J15" s="2" t="n">
        <v>36557</v>
      </c>
      <c r="K15" s="36" t="n">
        <v>36557</v>
      </c>
      <c r="L15" s="36" t="b">
        <v>1</v>
      </c>
      <c r="M15" s="24" t="n">
        <v>36557</v>
      </c>
      <c r="N15" s="24" t="b">
        <v>1</v>
      </c>
      <c r="O15" s="2" t="n">
        <v>36647</v>
      </c>
      <c r="P15" t="inlineStr">
        <is>
          <t>Processed</t>
        </is>
      </c>
      <c r="Q15" s="36" t="n">
        <v>36647</v>
      </c>
      <c r="R15" s="36" t="b">
        <v>1</v>
      </c>
      <c r="S15" s="24" t="n">
        <v>36647</v>
      </c>
      <c r="T15" s="24" t="b">
        <v>1</v>
      </c>
      <c r="W15" s="39" t="b">
        <v>1</v>
      </c>
      <c r="Y15" s="27" t="b">
        <v>1</v>
      </c>
      <c r="AB15" s="39" t="b">
        <v>1</v>
      </c>
      <c r="AD15" s="27" t="b">
        <v>1</v>
      </c>
      <c r="AE15" s="1" t="inlineStr">
        <is>
          <t>A</t>
        </is>
      </c>
      <c r="AF15" s="1" t="inlineStr">
        <is>
          <t>N</t>
        </is>
      </c>
      <c r="AG15" s="3" t="n">
        <v>0</v>
      </c>
      <c r="AH15" s="1" t="inlineStr">
        <is>
          <t>N</t>
        </is>
      </c>
      <c r="AI15" s="1" t="inlineStr">
        <is>
          <t>N</t>
        </is>
      </c>
      <c r="AJ15" s="4" t="n">
        <v>301116.79</v>
      </c>
      <c r="AK15" s="5" t="n">
        <v>2096</v>
      </c>
      <c r="AL15" s="41" t="n">
        <v>2096</v>
      </c>
      <c r="AM15" s="41">
        <f>IF(AND(ISNUMBER($AK$15), ISNUMBER($AJ$15)), IF(($AK$15 - $AJ$15)&lt;=1, 0, ($AK$15 - $AJ$15)), "")</f>
        <v/>
      </c>
      <c r="AN15" s="5" t="n">
        <v>24</v>
      </c>
      <c r="AO15" s="29" t="n">
        <v>23</v>
      </c>
      <c r="AP15" s="29" t="b">
        <v>1</v>
      </c>
      <c r="AQ15" s="4" t="n">
        <v>62470.75</v>
      </c>
      <c r="AR15" s="47" t="n">
        <v>62470.75</v>
      </c>
      <c r="AS15" s="47">
        <f>$AQ$15-$AP$15</f>
        <v/>
      </c>
      <c r="AT15" s="4" t="n">
        <v>62470.75</v>
      </c>
      <c r="AU15" s="4" t="n">
        <v>7559.47</v>
      </c>
      <c r="AV15" s="47" t="n">
        <v>7559.47</v>
      </c>
      <c r="AW15" s="47">
        <f>$AU$15-$AT$15</f>
        <v/>
      </c>
      <c r="AX15" s="4" t="n">
        <v>0</v>
      </c>
      <c r="AY15" s="47" t="n">
        <v>0</v>
      </c>
      <c r="AZ15" s="47">
        <f>$AX$15-$AW$15</f>
        <v/>
      </c>
      <c r="BA15" s="4" t="n">
        <v>7559.47</v>
      </c>
      <c r="BB15" s="4" t="n">
        <v>0</v>
      </c>
      <c r="BC15" s="4" t="n">
        <v>7559.47</v>
      </c>
      <c r="BD15" s="4" t="n">
        <v>1874.22</v>
      </c>
      <c r="BE15" s="47" t="n">
        <v>1874.22</v>
      </c>
      <c r="BF15" s="47">
        <f>$BD$15-$BC$15</f>
        <v/>
      </c>
      <c r="BG15" s="6" t="n">
        <v>4372.95</v>
      </c>
      <c r="BH15" s="53" t="n">
        <v>4312.83</v>
      </c>
      <c r="BI15" s="53">
        <f>$BG$15-$BF$15</f>
        <v/>
      </c>
      <c r="BJ15" s="4" t="n">
        <v>13806.64</v>
      </c>
      <c r="BK15" s="4" t="n">
        <v>13806.64</v>
      </c>
      <c r="BL15" t="inlineStr">
        <is>
          <t xml:space="preserve"> Match=0 but Roth or Deferral &gt;0. </t>
        </is>
      </c>
    </row>
    <row r="16">
      <c r="A16" t="n">
        <v>11</v>
      </c>
      <c r="B16" s="1" t="n"/>
      <c r="C16" s="1" t="n"/>
      <c r="D16" s="1" t="inlineStr"/>
      <c r="E16" s="2" t="n">
        <v>28251</v>
      </c>
      <c r="F16" s="36" t="n">
        <v>28251</v>
      </c>
      <c r="G16" s="36" t="b">
        <v>1</v>
      </c>
      <c r="H16" s="24" t="n">
        <v>28251</v>
      </c>
      <c r="I16" s="24" t="b">
        <v>1</v>
      </c>
      <c r="J16" s="2" t="n">
        <v>36774</v>
      </c>
      <c r="K16" s="36" t="n">
        <v>36774</v>
      </c>
      <c r="L16" s="36" t="b">
        <v>1</v>
      </c>
      <c r="M16" s="24" t="n">
        <v>36774</v>
      </c>
      <c r="N16" s="24" t="b">
        <v>1</v>
      </c>
      <c r="O16" s="2" t="n">
        <v>36892</v>
      </c>
      <c r="P16" t="inlineStr">
        <is>
          <t>Processed</t>
        </is>
      </c>
      <c r="Q16" s="36" t="n">
        <v>36892</v>
      </c>
      <c r="R16" s="36" t="b">
        <v>1</v>
      </c>
      <c r="S16" s="24" t="n">
        <v>36892</v>
      </c>
      <c r="T16" s="24" t="b">
        <v>1</v>
      </c>
      <c r="W16" s="39" t="b">
        <v>1</v>
      </c>
      <c r="Y16" s="27" t="b">
        <v>1</v>
      </c>
      <c r="AB16" s="39" t="b">
        <v>1</v>
      </c>
      <c r="AD16" s="27" t="b">
        <v>1</v>
      </c>
      <c r="AE16" s="1" t="inlineStr">
        <is>
          <t>A</t>
        </is>
      </c>
      <c r="AF16" s="1" t="inlineStr">
        <is>
          <t>N</t>
        </is>
      </c>
      <c r="AG16" s="3" t="n">
        <v>0</v>
      </c>
      <c r="AH16" s="1" t="inlineStr">
        <is>
          <t>N</t>
        </is>
      </c>
      <c r="AI16" s="1" t="inlineStr">
        <is>
          <t>N</t>
        </is>
      </c>
      <c r="AJ16" s="4" t="n">
        <v>257319.17</v>
      </c>
      <c r="AK16" s="5" t="n">
        <v>2064.35</v>
      </c>
      <c r="AL16" s="41" t="n">
        <v>2064.35</v>
      </c>
      <c r="AM16" s="41">
        <f>IF(AND(ISNUMBER($AK$16), ISNUMBER($AJ$16)), IF(($AK$16 - $AJ$16)&lt;=1, 0, ($AK$16 - $AJ$16)), "")</f>
        <v/>
      </c>
      <c r="AN16" s="5" t="n">
        <v>23</v>
      </c>
      <c r="AO16" s="29" t="n">
        <v>22</v>
      </c>
      <c r="AP16" s="29" t="b">
        <v>1</v>
      </c>
      <c r="AQ16" s="4" t="n">
        <v>53386.33</v>
      </c>
      <c r="AR16" s="47" t="n">
        <v>51356.65</v>
      </c>
      <c r="AS16" s="47">
        <f>$AQ$16-$AP$16</f>
        <v/>
      </c>
      <c r="AT16" s="4" t="n">
        <v>53386.33</v>
      </c>
      <c r="AU16" s="4" t="n">
        <v>2557.02</v>
      </c>
      <c r="AV16" s="47" t="n">
        <v>2557.02</v>
      </c>
      <c r="AW16" s="47">
        <f>$AU$16-$AT$16</f>
        <v/>
      </c>
      <c r="AX16" s="4" t="n">
        <v>0</v>
      </c>
      <c r="AY16" s="47" t="n">
        <v>0</v>
      </c>
      <c r="AZ16" s="47">
        <f>$AX$16-$AW$16</f>
        <v/>
      </c>
      <c r="BA16" s="4" t="n">
        <v>2557.02</v>
      </c>
      <c r="BB16" s="4" t="n">
        <v>0</v>
      </c>
      <c r="BC16" s="4" t="n">
        <v>2557.02</v>
      </c>
      <c r="BD16" s="4" t="n">
        <v>1534.18</v>
      </c>
      <c r="BE16" s="47" t="n">
        <v>1534.18</v>
      </c>
      <c r="BF16" s="47">
        <f>$BD$16-$BC$16</f>
        <v/>
      </c>
      <c r="BG16" s="6" t="n">
        <v>3594.97</v>
      </c>
      <c r="BH16" s="53" t="n">
        <v>3579.83</v>
      </c>
      <c r="BI16" s="53">
        <f>$BG$16-$BF$16</f>
        <v/>
      </c>
      <c r="BJ16" s="4" t="n">
        <v>7686.17</v>
      </c>
      <c r="BK16" s="4" t="n">
        <v>7686.17</v>
      </c>
      <c r="BL16" t="inlineStr">
        <is>
          <t xml:space="preserve"> Match=0 but Roth or Deferral &gt;0. </t>
        </is>
      </c>
    </row>
    <row r="17">
      <c r="A17" t="n">
        <v>12</v>
      </c>
      <c r="B17" s="1" t="n"/>
      <c r="C17" s="1" t="n"/>
      <c r="D17" s="1" t="inlineStr"/>
      <c r="E17" s="2" t="n">
        <v>28905</v>
      </c>
      <c r="F17" s="36" t="n">
        <v>28905</v>
      </c>
      <c r="G17" s="36" t="b">
        <v>1</v>
      </c>
      <c r="H17" s="24" t="n">
        <v>28905</v>
      </c>
      <c r="I17" s="24" t="b">
        <v>1</v>
      </c>
      <c r="J17" s="2" t="n">
        <v>36775</v>
      </c>
      <c r="K17" s="36" t="n">
        <v>36775</v>
      </c>
      <c r="L17" s="36" t="b">
        <v>1</v>
      </c>
      <c r="M17" s="24" t="n">
        <v>36775</v>
      </c>
      <c r="N17" s="24" t="b">
        <v>1</v>
      </c>
      <c r="O17" s="2" t="n">
        <v>37257</v>
      </c>
      <c r="P17" t="inlineStr">
        <is>
          <t>Processed</t>
        </is>
      </c>
      <c r="Q17" s="36" t="n">
        <v>37257</v>
      </c>
      <c r="R17" s="36" t="b">
        <v>1</v>
      </c>
      <c r="S17" s="24" t="n">
        <v>37257</v>
      </c>
      <c r="T17" s="24" t="b">
        <v>1</v>
      </c>
      <c r="W17" s="39" t="b">
        <v>1</v>
      </c>
      <c r="Y17" s="27" t="b">
        <v>1</v>
      </c>
      <c r="AB17" s="39" t="b">
        <v>1</v>
      </c>
      <c r="AD17" s="27" t="b">
        <v>1</v>
      </c>
      <c r="AE17" s="1" t="inlineStr">
        <is>
          <t>A</t>
        </is>
      </c>
      <c r="AF17" s="1" t="inlineStr">
        <is>
          <t>N</t>
        </is>
      </c>
      <c r="AG17" s="3" t="n">
        <v>0</v>
      </c>
      <c r="AH17" s="1" t="inlineStr">
        <is>
          <t>N</t>
        </is>
      </c>
      <c r="AI17" s="1" t="inlineStr">
        <is>
          <t>N</t>
        </is>
      </c>
      <c r="AJ17" s="4" t="n">
        <v>319772.86</v>
      </c>
      <c r="AK17" s="5" t="n">
        <v>1946.99</v>
      </c>
      <c r="AL17" s="41" t="n">
        <v>136457.369</v>
      </c>
      <c r="AM17" s="41">
        <f>IF(AND(ISNUMBER($AK$17), ISNUMBER($AJ$17)), IF(($AK$17 - $AJ$17)&lt;=1, 0, ($AK$17 - $AJ$17)), "")</f>
        <v/>
      </c>
      <c r="AN17" s="5" t="n">
        <v>23</v>
      </c>
      <c r="AO17" s="29" t="n">
        <v>22</v>
      </c>
      <c r="AP17" s="29" t="b">
        <v>1</v>
      </c>
      <c r="AQ17" s="4" t="n">
        <v>52619.79</v>
      </c>
      <c r="AR17" s="47" t="n">
        <v>52619.79</v>
      </c>
      <c r="AS17" s="47">
        <f>$AQ$17-$AP$17</f>
        <v/>
      </c>
      <c r="AT17" s="4" t="n">
        <v>52619.79</v>
      </c>
      <c r="AU17" s="4" t="n">
        <v>3125.77</v>
      </c>
      <c r="AV17" s="47" t="n">
        <v>3125.77</v>
      </c>
      <c r="AW17" s="47">
        <f>$AU$17-$AT$17</f>
        <v/>
      </c>
      <c r="AX17" s="4" t="n">
        <v>0</v>
      </c>
      <c r="AY17" s="47" t="n">
        <v>0</v>
      </c>
      <c r="AZ17" s="47">
        <f>$AX$17-$AW$17</f>
        <v/>
      </c>
      <c r="BA17" s="4" t="n">
        <v>3125.77</v>
      </c>
      <c r="BB17" s="4" t="n">
        <v>0</v>
      </c>
      <c r="BC17" s="4" t="n">
        <v>3125.77</v>
      </c>
      <c r="BD17" s="4" t="n">
        <v>1572.08</v>
      </c>
      <c r="BE17" s="47" t="n">
        <v>1572.08</v>
      </c>
      <c r="BF17" s="47">
        <f>$BD$17-$BC$17</f>
        <v/>
      </c>
      <c r="BG17" s="6" t="n">
        <v>3399.24</v>
      </c>
      <c r="BH17" s="53" t="n">
        <v>3365.41</v>
      </c>
      <c r="BI17" s="53">
        <f>$BG$17-$BF$17</f>
        <v/>
      </c>
      <c r="BJ17" s="4" t="n">
        <v>8097.09</v>
      </c>
      <c r="BK17" s="4" t="n">
        <v>8097.09</v>
      </c>
      <c r="BL17" t="inlineStr">
        <is>
          <t xml:space="preserve"> Match=0 but Roth or Deferral &gt;0. </t>
        </is>
      </c>
    </row>
    <row r="18">
      <c r="A18" t="n">
        <v>13</v>
      </c>
      <c r="B18" s="1" t="n"/>
      <c r="C18" s="1" t="n"/>
      <c r="D18" s="1" t="inlineStr"/>
      <c r="E18" s="2" t="n">
        <v>26983</v>
      </c>
      <c r="F18" s="36" t="n">
        <v>26983</v>
      </c>
      <c r="G18" s="36" t="b">
        <v>1</v>
      </c>
      <c r="H18" s="24" t="n">
        <v>26983</v>
      </c>
      <c r="I18" s="24" t="b">
        <v>1</v>
      </c>
      <c r="J18" s="2" t="n">
        <v>36920</v>
      </c>
      <c r="K18" s="36" t="n">
        <v>36920</v>
      </c>
      <c r="L18" s="36" t="b">
        <v>1</v>
      </c>
      <c r="M18" s="24" t="n">
        <v>36920</v>
      </c>
      <c r="N18" s="24" t="b">
        <v>1</v>
      </c>
      <c r="O18" s="2" t="n">
        <v>37012</v>
      </c>
      <c r="P18" t="inlineStr">
        <is>
          <t>Processed</t>
        </is>
      </c>
      <c r="Q18" s="36" t="n">
        <v>37012</v>
      </c>
      <c r="R18" s="36" t="b">
        <v>1</v>
      </c>
      <c r="S18" s="24" t="n">
        <v>37012</v>
      </c>
      <c r="T18" s="24" t="b">
        <v>1</v>
      </c>
      <c r="W18" s="39" t="b">
        <v>1</v>
      </c>
      <c r="Y18" s="27" t="b">
        <v>1</v>
      </c>
      <c r="AB18" s="39" t="b">
        <v>1</v>
      </c>
      <c r="AD18" s="27" t="b">
        <v>1</v>
      </c>
      <c r="AE18" s="1" t="inlineStr">
        <is>
          <t>A</t>
        </is>
      </c>
      <c r="AF18" s="1" t="inlineStr">
        <is>
          <t>N</t>
        </is>
      </c>
      <c r="AG18" s="3" t="n">
        <v>0</v>
      </c>
      <c r="AH18" s="1" t="inlineStr">
        <is>
          <t>N</t>
        </is>
      </c>
      <c r="AI18" s="1" t="inlineStr">
        <is>
          <t>N</t>
        </is>
      </c>
      <c r="AJ18" s="4" t="n">
        <v>463802.87</v>
      </c>
      <c r="AK18" s="5" t="n">
        <v>2120</v>
      </c>
      <c r="AL18" s="41" t="n">
        <v>2120</v>
      </c>
      <c r="AM18" s="41">
        <f>IF(AND(ISNUMBER($AK$18), ISNUMBER($AJ$18)), IF(($AK$18 - $AJ$18)&lt;=1, 0, ($AK$18 - $AJ$18)), "")</f>
        <v/>
      </c>
      <c r="AN18" s="5" t="n">
        <v>23</v>
      </c>
      <c r="AO18" s="29" t="n">
        <v>22</v>
      </c>
      <c r="AP18" s="29" t="b">
        <v>1</v>
      </c>
      <c r="AQ18" s="4" t="n">
        <v>74931.48</v>
      </c>
      <c r="AR18" s="47" t="n">
        <v>74931.48</v>
      </c>
      <c r="AS18" s="47">
        <f>$AQ$18-$AP$18</f>
        <v/>
      </c>
      <c r="AT18" s="4" t="n">
        <v>74931.48</v>
      </c>
      <c r="AU18" s="4" t="n">
        <v>13375.85</v>
      </c>
      <c r="AV18" s="47" t="n">
        <v>13375.85</v>
      </c>
      <c r="AW18" s="47">
        <f>$AU$18-$AT$18</f>
        <v/>
      </c>
      <c r="AX18" s="4" t="n">
        <v>0</v>
      </c>
      <c r="AY18" s="47" t="n">
        <v>0</v>
      </c>
      <c r="AZ18" s="47">
        <f>$AX$18-$AW$18</f>
        <v/>
      </c>
      <c r="BA18" s="4" t="n">
        <v>13375.85</v>
      </c>
      <c r="BB18" s="4" t="n">
        <v>0</v>
      </c>
      <c r="BC18" s="4" t="n">
        <v>13375.85</v>
      </c>
      <c r="BD18" s="4" t="n">
        <v>2247.85</v>
      </c>
      <c r="BE18" s="47" t="n">
        <v>2247.85</v>
      </c>
      <c r="BF18" s="47">
        <f>$BD$18-$BC$18</f>
        <v/>
      </c>
      <c r="BG18" s="6" t="n">
        <v>5245.2</v>
      </c>
      <c r="BH18" s="53" t="n">
        <v>5201.77</v>
      </c>
      <c r="BI18" s="53">
        <f>$BG$18-$BF$18</f>
        <v/>
      </c>
      <c r="BJ18" s="4" t="n">
        <v>20868.9</v>
      </c>
      <c r="BK18" s="4" t="n">
        <v>20868.9</v>
      </c>
      <c r="BL18" t="inlineStr">
        <is>
          <t xml:space="preserve"> Match=0 but Roth or Deferral &gt;0. </t>
        </is>
      </c>
    </row>
    <row r="19">
      <c r="A19" t="n">
        <v>14</v>
      </c>
      <c r="B19" s="1" t="n"/>
      <c r="C19" s="1" t="n"/>
      <c r="D19" s="1" t="inlineStr"/>
      <c r="E19" s="2" t="n">
        <v>29150</v>
      </c>
      <c r="F19" s="36" t="n">
        <v>29150</v>
      </c>
      <c r="G19" s="36" t="b">
        <v>1</v>
      </c>
      <c r="H19" s="24" t="n">
        <v>29150</v>
      </c>
      <c r="I19" s="24" t="b">
        <v>1</v>
      </c>
      <c r="J19" s="2" t="n">
        <v>36975</v>
      </c>
      <c r="K19" s="36" t="n">
        <v>36975</v>
      </c>
      <c r="L19" s="36" t="b">
        <v>1</v>
      </c>
      <c r="M19" s="24" t="n">
        <v>36975</v>
      </c>
      <c r="N19" s="24" t="b">
        <v>1</v>
      </c>
      <c r="O19" s="2" t="n">
        <v>37073</v>
      </c>
      <c r="P19" t="inlineStr">
        <is>
          <t>Processed</t>
        </is>
      </c>
      <c r="Q19" s="36" t="n">
        <v>37073</v>
      </c>
      <c r="R19" s="36" t="b">
        <v>1</v>
      </c>
      <c r="S19" s="24" t="n">
        <v>37073</v>
      </c>
      <c r="T19" s="24" t="b">
        <v>1</v>
      </c>
      <c r="W19" s="39" t="b">
        <v>1</v>
      </c>
      <c r="Y19" s="27" t="b">
        <v>1</v>
      </c>
      <c r="AB19" s="39" t="b">
        <v>1</v>
      </c>
      <c r="AD19" s="27" t="b">
        <v>1</v>
      </c>
      <c r="AE19" s="1" t="inlineStr">
        <is>
          <t>A</t>
        </is>
      </c>
      <c r="AF19" s="1" t="inlineStr">
        <is>
          <t>N</t>
        </is>
      </c>
      <c r="AG19" s="3" t="n">
        <v>0</v>
      </c>
      <c r="AH19" s="1" t="inlineStr">
        <is>
          <t>N</t>
        </is>
      </c>
      <c r="AI19" s="1" t="inlineStr">
        <is>
          <t>N</t>
        </is>
      </c>
      <c r="AJ19" s="4" t="n">
        <v>294652.38</v>
      </c>
      <c r="AK19" s="5" t="n">
        <v>2080</v>
      </c>
      <c r="AL19" s="41" t="n">
        <v>2080</v>
      </c>
      <c r="AM19" s="41">
        <f>IF(AND(ISNUMBER($AK$19), ISNUMBER($AJ$19)), IF(($AK$19 - $AJ$19)&lt;=1, 0, ($AK$19 - $AJ$19)), "")</f>
        <v/>
      </c>
      <c r="AN19" s="5" t="n">
        <v>23</v>
      </c>
      <c r="AO19" s="29" t="n">
        <v>22</v>
      </c>
      <c r="AP19" s="29" t="b">
        <v>1</v>
      </c>
      <c r="AQ19" s="4" t="n">
        <v>73513.64999999999</v>
      </c>
      <c r="AR19" s="47" t="n">
        <v>70688.73</v>
      </c>
      <c r="AS19" s="47">
        <f>$AQ$19-$AP$19</f>
        <v/>
      </c>
      <c r="AT19" s="4" t="n">
        <v>73513.64999999999</v>
      </c>
      <c r="AU19" s="4" t="n">
        <v>4906.22</v>
      </c>
      <c r="AV19" s="47" t="n">
        <v>4906.22</v>
      </c>
      <c r="AW19" s="47">
        <f>$AU$19-$AT$19</f>
        <v/>
      </c>
      <c r="AX19" s="4" t="n">
        <v>0</v>
      </c>
      <c r="AY19" s="47" t="n">
        <v>0</v>
      </c>
      <c r="AZ19" s="47">
        <f>$AX$19-$AW$19</f>
        <v/>
      </c>
      <c r="BA19" s="4" t="n">
        <v>4906.22</v>
      </c>
      <c r="BB19" s="4" t="n">
        <v>0</v>
      </c>
      <c r="BC19" s="4" t="n">
        <v>4906.22</v>
      </c>
      <c r="BD19" s="4" t="n">
        <v>2120.71</v>
      </c>
      <c r="BE19" s="47" t="n">
        <v>2120.71</v>
      </c>
      <c r="BF19" s="47">
        <f>$BD$19-$BC$19</f>
        <v/>
      </c>
      <c r="BG19" s="6" t="n">
        <v>4948.21</v>
      </c>
      <c r="BH19" s="53" t="n">
        <v>4906.22</v>
      </c>
      <c r="BI19" s="53">
        <f>$BG$19-$BF$19</f>
        <v/>
      </c>
      <c r="BJ19" s="4" t="n">
        <v>11975.14</v>
      </c>
      <c r="BK19" s="4" t="n">
        <v>11975.14</v>
      </c>
      <c r="BL19" t="inlineStr">
        <is>
          <t xml:space="preserve"> Match=0 but Roth or Deferral &gt;0. </t>
        </is>
      </c>
    </row>
    <row r="20">
      <c r="A20" t="n">
        <v>15</v>
      </c>
      <c r="B20" s="1" t="n"/>
      <c r="C20" s="1" t="n"/>
      <c r="D20" s="1" t="inlineStr"/>
      <c r="E20" s="2" t="n">
        <v>27227</v>
      </c>
      <c r="F20" s="36" t="n">
        <v>27227</v>
      </c>
      <c r="G20" s="36" t="b">
        <v>1</v>
      </c>
      <c r="H20" s="24" t="n">
        <v>27227</v>
      </c>
      <c r="I20" s="24" t="b">
        <v>1</v>
      </c>
      <c r="J20" s="2" t="n">
        <v>37802</v>
      </c>
      <c r="K20" s="36" t="n">
        <v>37802</v>
      </c>
      <c r="L20" s="36" t="b">
        <v>1</v>
      </c>
      <c r="M20" s="24" t="n">
        <v>37802</v>
      </c>
      <c r="N20" s="24" t="b">
        <v>1</v>
      </c>
      <c r="O20" s="2" t="n">
        <v>37895</v>
      </c>
      <c r="P20" t="inlineStr">
        <is>
          <t>Processed</t>
        </is>
      </c>
      <c r="Q20" s="36" t="n">
        <v>37895</v>
      </c>
      <c r="R20" s="36" t="b">
        <v>1</v>
      </c>
      <c r="S20" s="24" t="n">
        <v>37895</v>
      </c>
      <c r="T20" s="24" t="b">
        <v>1</v>
      </c>
      <c r="W20" s="39" t="b">
        <v>1</v>
      </c>
      <c r="Y20" s="27" t="b">
        <v>1</v>
      </c>
      <c r="AB20" s="39" t="b">
        <v>1</v>
      </c>
      <c r="AD20" s="27" t="b">
        <v>1</v>
      </c>
      <c r="AE20" s="1" t="inlineStr">
        <is>
          <t>A</t>
        </is>
      </c>
      <c r="AF20" s="1" t="inlineStr">
        <is>
          <t>N</t>
        </is>
      </c>
      <c r="AG20" s="3" t="n">
        <v>0</v>
      </c>
      <c r="AH20" s="1" t="inlineStr">
        <is>
          <t>N</t>
        </is>
      </c>
      <c r="AI20" s="1" t="inlineStr">
        <is>
          <t>N</t>
        </is>
      </c>
      <c r="AJ20" s="4" t="n">
        <v>359646.7</v>
      </c>
      <c r="AK20" s="5" t="n">
        <v>2097.76</v>
      </c>
      <c r="AL20" s="41" t="n">
        <v>2097.76</v>
      </c>
      <c r="AM20" s="41">
        <f>IF(AND(ISNUMBER($AK$20), ISNUMBER($AJ$20)), IF(($AK$20 - $AJ$20)&lt;=1, 0, ($AK$20 - $AJ$20)), "")</f>
        <v/>
      </c>
      <c r="AN20" s="5" t="n">
        <v>20</v>
      </c>
      <c r="AO20" s="29" t="n">
        <v>19</v>
      </c>
      <c r="AP20" s="29" t="b">
        <v>1</v>
      </c>
      <c r="AQ20" s="4" t="n">
        <v>72492.82000000001</v>
      </c>
      <c r="AR20" s="47" t="n">
        <v>72492.82000000001</v>
      </c>
      <c r="AS20" s="47">
        <f>$AQ$20-$AP$20</f>
        <v/>
      </c>
      <c r="AT20" s="4" t="n">
        <v>72492.82000000001</v>
      </c>
      <c r="AU20" s="4" t="n">
        <v>15453.12</v>
      </c>
      <c r="AV20" s="47" t="n">
        <v>15453.12</v>
      </c>
      <c r="AW20" s="47">
        <f>$AU$20-$AT$20</f>
        <v/>
      </c>
      <c r="AX20" s="4" t="n">
        <v>0</v>
      </c>
      <c r="AY20" s="47" t="n">
        <v>0</v>
      </c>
      <c r="AZ20" s="47">
        <f>$AX$20-$AW$20</f>
        <v/>
      </c>
      <c r="BA20" s="4" t="n">
        <v>15453.12</v>
      </c>
      <c r="BB20" s="4" t="n">
        <v>0</v>
      </c>
      <c r="BC20" s="4" t="n">
        <v>15453.12</v>
      </c>
      <c r="BD20" s="4" t="n">
        <v>2168.3</v>
      </c>
      <c r="BE20" s="47" t="n">
        <v>2168.3</v>
      </c>
      <c r="BF20" s="47">
        <f>$BD$20-$BC$20</f>
        <v/>
      </c>
      <c r="BG20" s="6" t="n">
        <v>5074.5</v>
      </c>
      <c r="BH20" s="53" t="n">
        <v>5034.54</v>
      </c>
      <c r="BI20" s="53">
        <f>$BG$20-$BF$20</f>
        <v/>
      </c>
      <c r="BJ20" s="4" t="n">
        <v>22695.92</v>
      </c>
      <c r="BK20" s="4" t="n">
        <v>22695.92</v>
      </c>
      <c r="BL20" t="inlineStr">
        <is>
          <t xml:space="preserve"> Match=0 but Roth or Deferral &gt;0. </t>
        </is>
      </c>
    </row>
    <row r="21">
      <c r="A21" t="n">
        <v>16</v>
      </c>
      <c r="B21" s="1" t="n"/>
      <c r="C21" s="1" t="n"/>
      <c r="D21" s="1" t="inlineStr"/>
      <c r="E21" s="2" t="n">
        <v>29523</v>
      </c>
      <c r="F21" s="36" t="n">
        <v>29523</v>
      </c>
      <c r="G21" s="36" t="b">
        <v>1</v>
      </c>
      <c r="H21" s="24" t="n">
        <v>29523</v>
      </c>
      <c r="I21" s="24" t="b">
        <v>1</v>
      </c>
      <c r="J21" s="2" t="n">
        <v>39378</v>
      </c>
      <c r="K21" s="36" t="n">
        <v>39378</v>
      </c>
      <c r="L21" s="36" t="b">
        <v>1</v>
      </c>
      <c r="M21" s="24" t="n">
        <v>39378</v>
      </c>
      <c r="N21" s="24" t="b">
        <v>1</v>
      </c>
      <c r="O21" s="2" t="n">
        <v>39479</v>
      </c>
      <c r="P21" t="inlineStr">
        <is>
          <t>Processed</t>
        </is>
      </c>
      <c r="Q21" s="36" t="n">
        <v>39479</v>
      </c>
      <c r="R21" s="36" t="b">
        <v>1</v>
      </c>
      <c r="S21" s="24" t="n">
        <v>39479</v>
      </c>
      <c r="T21" s="24" t="b">
        <v>1</v>
      </c>
      <c r="W21" s="39" t="b">
        <v>1</v>
      </c>
      <c r="Y21" s="27" t="b">
        <v>1</v>
      </c>
      <c r="AB21" s="39" t="b">
        <v>1</v>
      </c>
      <c r="AD21" s="27" t="b">
        <v>1</v>
      </c>
      <c r="AE21" s="1" t="inlineStr">
        <is>
          <t>A</t>
        </is>
      </c>
      <c r="AF21" s="1" t="inlineStr">
        <is>
          <t>N</t>
        </is>
      </c>
      <c r="AG21" s="3" t="n">
        <v>0</v>
      </c>
      <c r="AH21" s="1" t="inlineStr">
        <is>
          <t>N</t>
        </is>
      </c>
      <c r="AI21" s="1" t="inlineStr">
        <is>
          <t>N</t>
        </is>
      </c>
      <c r="AJ21" s="4" t="n">
        <v>574873.6</v>
      </c>
      <c r="AK21" s="5" t="n">
        <v>2084</v>
      </c>
      <c r="AL21" s="41" t="n">
        <v>2084</v>
      </c>
      <c r="AM21" s="41">
        <f>IF(AND(ISNUMBER($AK$21), ISNUMBER($AJ$21)), IF(($AK$21 - $AJ$21)&lt;=1, 0, ($AK$21 - $AJ$21)), "")</f>
        <v/>
      </c>
      <c r="AN21" s="5" t="n">
        <v>16</v>
      </c>
      <c r="AO21" s="29" t="n">
        <v>15</v>
      </c>
      <c r="AP21" s="29" t="b">
        <v>1</v>
      </c>
      <c r="AQ21" s="4" t="n">
        <v>67434.14</v>
      </c>
      <c r="AR21" s="47" t="n">
        <v>67434.14</v>
      </c>
      <c r="AS21" s="47">
        <f>$AQ$21-$AP$21</f>
        <v/>
      </c>
      <c r="AT21" s="4" t="n">
        <v>67434.14</v>
      </c>
      <c r="AU21" s="4" t="n">
        <v>10038.58</v>
      </c>
      <c r="AV21" s="47" t="n">
        <v>10038.58</v>
      </c>
      <c r="AW21" s="47">
        <f>$AU$21-$AT$21</f>
        <v/>
      </c>
      <c r="AX21" s="4" t="n">
        <v>6692.37</v>
      </c>
      <c r="AY21" s="47" t="n">
        <v>6692.37</v>
      </c>
      <c r="AZ21" s="47">
        <f>$AX$21-$AW$21</f>
        <v/>
      </c>
      <c r="BA21" s="4" t="n">
        <v>16730.95</v>
      </c>
      <c r="BB21" s="4" t="n">
        <v>0</v>
      </c>
      <c r="BC21" s="4" t="n">
        <v>16730.95</v>
      </c>
      <c r="BD21" s="4" t="n">
        <v>2023.12</v>
      </c>
      <c r="BE21" s="47" t="n">
        <v>2023.12</v>
      </c>
      <c r="BF21" s="47">
        <f>$BD$21-$BC$21</f>
        <v/>
      </c>
      <c r="BG21" s="6" t="n">
        <v>4720.39</v>
      </c>
      <c r="BH21" s="53" t="n">
        <v>4684.57</v>
      </c>
      <c r="BI21" s="53">
        <f>$BG$21-$BF$21</f>
        <v/>
      </c>
      <c r="BJ21" s="4" t="n">
        <v>23474.46</v>
      </c>
      <c r="BK21" s="4" t="n">
        <v>23474.46</v>
      </c>
      <c r="BL21" t="inlineStr">
        <is>
          <t xml:space="preserve"> Match=0 but Roth or Deferral &gt;0. </t>
        </is>
      </c>
    </row>
    <row r="22">
      <c r="A22" t="n">
        <v>17</v>
      </c>
      <c r="B22" s="1" t="n"/>
      <c r="C22" s="1" t="n"/>
      <c r="D22" s="1" t="inlineStr"/>
      <c r="E22" s="2" t="n">
        <v>29502</v>
      </c>
      <c r="F22" s="36" t="n">
        <v>29502</v>
      </c>
      <c r="G22" s="36" t="b">
        <v>1</v>
      </c>
      <c r="H22" s="24" t="n">
        <v>29502</v>
      </c>
      <c r="I22" s="24" t="b">
        <v>1</v>
      </c>
      <c r="J22" s="2" t="n">
        <v>40070</v>
      </c>
      <c r="K22" s="36" t="n">
        <v>40070</v>
      </c>
      <c r="L22" s="36" t="b">
        <v>1</v>
      </c>
      <c r="M22" s="24" t="n">
        <v>40070</v>
      </c>
      <c r="N22" s="24" t="b">
        <v>1</v>
      </c>
      <c r="O22" s="2" t="n">
        <v>41533</v>
      </c>
      <c r="P22" t="inlineStr">
        <is>
          <t>Processed</t>
        </is>
      </c>
      <c r="Q22" s="36" t="n">
        <v>41533</v>
      </c>
      <c r="R22" s="36" t="b">
        <v>1</v>
      </c>
      <c r="S22" s="24" t="n">
        <v>41533</v>
      </c>
      <c r="T22" s="24" t="b">
        <v>1</v>
      </c>
      <c r="V22" s="40" t="n">
        <v>41472</v>
      </c>
      <c r="W22" s="39" t="b">
        <v>0</v>
      </c>
      <c r="X22" s="28" t="n">
        <v>41472</v>
      </c>
      <c r="Y22" s="27" t="b">
        <v>0</v>
      </c>
      <c r="Z22" s="2" t="n">
        <v>41533</v>
      </c>
      <c r="AA22" s="36" t="n">
        <v>41533</v>
      </c>
      <c r="AB22" s="36" t="b">
        <v>1</v>
      </c>
      <c r="AC22" s="24" t="n">
        <v>41533</v>
      </c>
      <c r="AD22" s="24" t="b">
        <v>1</v>
      </c>
      <c r="AE22" s="1" t="inlineStr">
        <is>
          <t>A</t>
        </is>
      </c>
      <c r="AF22" s="1" t="inlineStr">
        <is>
          <t>N</t>
        </is>
      </c>
      <c r="AG22" s="3" t="n">
        <v>0</v>
      </c>
      <c r="AH22" s="1" t="inlineStr">
        <is>
          <t>N</t>
        </is>
      </c>
      <c r="AI22" s="1" t="inlineStr">
        <is>
          <t>N</t>
        </is>
      </c>
      <c r="AJ22" s="4" t="n">
        <v>125456.99</v>
      </c>
      <c r="AK22" s="5" t="n">
        <v>2116.36</v>
      </c>
      <c r="AL22" s="41" t="n">
        <v>2116.36</v>
      </c>
      <c r="AM22" s="41">
        <f>IF(AND(ISNUMBER($AK$22), ISNUMBER($AJ$22)), IF(($AK$22 - $AJ$22)&lt;=1, 0, ($AK$22 - $AJ$22)), "")</f>
        <v/>
      </c>
      <c r="AN22" s="5" t="n">
        <v>13</v>
      </c>
      <c r="AO22" s="29" t="n">
        <v>12</v>
      </c>
      <c r="AP22" s="29" t="b">
        <v>1</v>
      </c>
      <c r="AQ22" s="4" t="n">
        <v>64970.13</v>
      </c>
      <c r="AR22" s="47" t="n">
        <v>64970.13</v>
      </c>
      <c r="AS22" s="47">
        <f>$AQ$22-$AP$22</f>
        <v/>
      </c>
      <c r="AT22" s="4" t="n">
        <v>64970.13</v>
      </c>
      <c r="AU22" s="4" t="n">
        <v>3217.69</v>
      </c>
      <c r="AV22" s="47" t="n">
        <v>3217.69</v>
      </c>
      <c r="AW22" s="47">
        <f>$AU$22-$AT$22</f>
        <v/>
      </c>
      <c r="AX22" s="4" t="n">
        <v>0</v>
      </c>
      <c r="AY22" s="47" t="n">
        <v>0</v>
      </c>
      <c r="AZ22" s="47">
        <f>$AX$22-$AW$22</f>
        <v/>
      </c>
      <c r="BA22" s="4" t="n">
        <v>3217.69</v>
      </c>
      <c r="BB22" s="4" t="n">
        <v>0</v>
      </c>
      <c r="BC22" s="4" t="n">
        <v>3217.69</v>
      </c>
      <c r="BD22" s="4" t="n">
        <v>1942.63</v>
      </c>
      <c r="BE22" s="47" t="n">
        <v>1942.63</v>
      </c>
      <c r="BF22" s="47">
        <f>$BD$22-$BC$22</f>
        <v/>
      </c>
      <c r="BG22" s="6" t="n">
        <v>4197.07</v>
      </c>
      <c r="BH22" s="53" t="n">
        <v>4157.24</v>
      </c>
      <c r="BI22" s="53">
        <f>$BG$22-$BF$22</f>
        <v/>
      </c>
      <c r="BJ22" s="4" t="n">
        <v>9357.389999999999</v>
      </c>
      <c r="BK22" s="4" t="n">
        <v>9357.389999999999</v>
      </c>
      <c r="BL22" t="inlineStr">
        <is>
          <t xml:space="preserve"> Match=0 but Roth or Deferral &gt;0. </t>
        </is>
      </c>
    </row>
    <row r="23">
      <c r="A23" t="n">
        <v>18</v>
      </c>
      <c r="B23" s="1" t="n"/>
      <c r="C23" s="1" t="n"/>
      <c r="D23" s="1" t="inlineStr"/>
      <c r="E23" s="2" t="n">
        <v>24502</v>
      </c>
      <c r="F23" s="36" t="n">
        <v>24502</v>
      </c>
      <c r="G23" s="36" t="b">
        <v>1</v>
      </c>
      <c r="H23" s="24" t="n">
        <v>24502</v>
      </c>
      <c r="I23" s="24" t="b">
        <v>1</v>
      </c>
      <c r="J23" s="2" t="n">
        <v>40074</v>
      </c>
      <c r="K23" s="36" t="n">
        <v>40074</v>
      </c>
      <c r="L23" s="36" t="b">
        <v>1</v>
      </c>
      <c r="M23" s="24" t="n">
        <v>40074</v>
      </c>
      <c r="N23" s="24" t="b">
        <v>1</v>
      </c>
      <c r="O23" s="2" t="n">
        <v>41610</v>
      </c>
      <c r="P23" t="inlineStr">
        <is>
          <t>Processed</t>
        </is>
      </c>
      <c r="Q23" s="36" t="n">
        <v>41610</v>
      </c>
      <c r="R23" s="36" t="b">
        <v>1</v>
      </c>
      <c r="S23" s="24" t="n">
        <v>41610</v>
      </c>
      <c r="T23" s="24" t="b">
        <v>1</v>
      </c>
      <c r="V23" s="40" t="n">
        <v>41472</v>
      </c>
      <c r="W23" s="39" t="b">
        <v>0</v>
      </c>
      <c r="X23" s="28" t="n">
        <v>41472</v>
      </c>
      <c r="Y23" s="27" t="b">
        <v>0</v>
      </c>
      <c r="Z23" s="2" t="n">
        <v>41610</v>
      </c>
      <c r="AA23" s="36" t="n">
        <v>41610</v>
      </c>
      <c r="AB23" s="36" t="b">
        <v>1</v>
      </c>
      <c r="AC23" s="24" t="n">
        <v>41610</v>
      </c>
      <c r="AD23" s="24" t="b">
        <v>1</v>
      </c>
      <c r="AE23" s="1" t="inlineStr">
        <is>
          <t>A</t>
        </is>
      </c>
      <c r="AF23" s="1" t="inlineStr">
        <is>
          <t>N</t>
        </is>
      </c>
      <c r="AG23" s="3" t="n">
        <v>0</v>
      </c>
      <c r="AH23" s="1" t="inlineStr">
        <is>
          <t>N</t>
        </is>
      </c>
      <c r="AI23" s="1" t="inlineStr">
        <is>
          <t>N</t>
        </is>
      </c>
      <c r="AJ23" s="4" t="n">
        <v>84664.57000000001</v>
      </c>
      <c r="AK23" s="5" t="n">
        <v>2182.37</v>
      </c>
      <c r="AL23" s="41" t="n">
        <v>2182.37</v>
      </c>
      <c r="AM23" s="41">
        <f>IF(AND(ISNUMBER($AK$23), ISNUMBER($AJ$23)), IF(($AK$23 - $AJ$23)&lt;=1, 0, ($AK$23 - $AJ$23)), "")</f>
        <v/>
      </c>
      <c r="AN23" s="5" t="n">
        <v>13</v>
      </c>
      <c r="AO23" s="29" t="n">
        <v>12</v>
      </c>
      <c r="AP23" s="29" t="b">
        <v>1</v>
      </c>
      <c r="AQ23" s="4" t="n">
        <v>55699.13</v>
      </c>
      <c r="AR23" s="47" t="n">
        <v>55699.13</v>
      </c>
      <c r="AS23" s="47">
        <f>$AQ$23-$AP$23</f>
        <v/>
      </c>
      <c r="AT23" s="4" t="n">
        <v>55699.13</v>
      </c>
      <c r="AU23" s="4" t="n">
        <v>1663.89</v>
      </c>
      <c r="AV23" s="47" t="n">
        <v>1663.89</v>
      </c>
      <c r="AW23" s="47">
        <f>$AU$23-$AT$23</f>
        <v/>
      </c>
      <c r="AX23" s="4" t="n">
        <v>0</v>
      </c>
      <c r="AY23" s="47" t="n">
        <v>0</v>
      </c>
      <c r="AZ23" s="47">
        <f>$AX$23-$AW$23</f>
        <v/>
      </c>
      <c r="BA23" s="4" t="n">
        <v>1663.89</v>
      </c>
      <c r="BB23" s="4" t="n">
        <v>0</v>
      </c>
      <c r="BC23" s="4" t="n">
        <v>1663.89</v>
      </c>
      <c r="BD23" s="4" t="n">
        <v>1663.89</v>
      </c>
      <c r="BE23" s="47" t="n">
        <v>1663.89</v>
      </c>
      <c r="BF23" s="47">
        <f>$BD$23-$BC$23</f>
        <v/>
      </c>
      <c r="BG23" s="6" t="n">
        <v>3598.16</v>
      </c>
      <c r="BH23" s="53" t="n">
        <v>3582.87</v>
      </c>
      <c r="BI23" s="53">
        <f>$BG$23-$BF$23</f>
        <v/>
      </c>
      <c r="BJ23" s="4" t="n">
        <v>6925.940000000001</v>
      </c>
      <c r="BK23" s="4" t="n">
        <v>6925.940000000001</v>
      </c>
      <c r="BL23" t="inlineStr">
        <is>
          <t xml:space="preserve"> Match=0 but Roth or Deferral &gt;0. </t>
        </is>
      </c>
    </row>
    <row r="24">
      <c r="A24" t="n">
        <v>19</v>
      </c>
      <c r="B24" s="1" t="n"/>
      <c r="C24" s="1" t="n"/>
      <c r="D24" s="1" t="inlineStr"/>
      <c r="E24" s="2" t="n">
        <v>26170</v>
      </c>
      <c r="F24" s="36" t="n">
        <v>26170</v>
      </c>
      <c r="G24" s="36" t="b">
        <v>1</v>
      </c>
      <c r="H24" s="24" t="n">
        <v>26170</v>
      </c>
      <c r="I24" s="24" t="b">
        <v>1</v>
      </c>
      <c r="J24" s="2" t="n">
        <v>40091</v>
      </c>
      <c r="K24" s="36" t="n">
        <v>40091</v>
      </c>
      <c r="L24" s="36" t="b">
        <v>1</v>
      </c>
      <c r="M24" s="24" t="n">
        <v>40091</v>
      </c>
      <c r="N24" s="24" t="b">
        <v>1</v>
      </c>
      <c r="O24" s="2" t="n">
        <v>40210</v>
      </c>
      <c r="P24" t="inlineStr">
        <is>
          <t>Processed</t>
        </is>
      </c>
      <c r="Q24" s="36" t="n">
        <v>40210</v>
      </c>
      <c r="R24" s="36" t="b">
        <v>1</v>
      </c>
      <c r="S24" s="24" t="n">
        <v>40210</v>
      </c>
      <c r="T24" s="24" t="b">
        <v>1</v>
      </c>
      <c r="W24" s="39" t="b">
        <v>1</v>
      </c>
      <c r="Y24" s="27" t="b">
        <v>1</v>
      </c>
      <c r="AB24" s="39" t="b">
        <v>1</v>
      </c>
      <c r="AD24" s="27" t="b">
        <v>1</v>
      </c>
      <c r="AE24" s="1" t="inlineStr">
        <is>
          <t>A</t>
        </is>
      </c>
      <c r="AF24" s="1" t="inlineStr">
        <is>
          <t>N</t>
        </is>
      </c>
      <c r="AG24" s="3" t="n">
        <v>0</v>
      </c>
      <c r="AH24" s="1" t="inlineStr">
        <is>
          <t>N</t>
        </is>
      </c>
      <c r="AI24" s="1" t="inlineStr">
        <is>
          <t>N</t>
        </is>
      </c>
      <c r="AJ24" s="4" t="n">
        <v>129890.78</v>
      </c>
      <c r="AK24" s="5" t="n">
        <v>2042.18</v>
      </c>
      <c r="AL24" s="41" t="n">
        <v>2042.18</v>
      </c>
      <c r="AM24" s="41">
        <f>IF(AND(ISNUMBER($AK$24), ISNUMBER($AJ$24)), IF(($AK$24 - $AJ$24)&lt;=1, 0, ($AK$24 - $AJ$24)), "")</f>
        <v/>
      </c>
      <c r="AN24" s="5" t="n">
        <v>53</v>
      </c>
      <c r="AO24" s="29" t="n">
        <v>52</v>
      </c>
      <c r="AP24" s="29" t="b">
        <v>1</v>
      </c>
      <c r="AQ24" s="4" t="n">
        <v>59209.35</v>
      </c>
      <c r="AR24" s="47" t="n">
        <v>56756.33</v>
      </c>
      <c r="AS24" s="47">
        <f>$AQ$24-$AP$24</f>
        <v/>
      </c>
      <c r="AT24" s="4" t="n">
        <v>59209.35</v>
      </c>
      <c r="AU24" s="4" t="n">
        <v>1676.74</v>
      </c>
      <c r="AV24" s="47" t="n">
        <v>1676.74</v>
      </c>
      <c r="AW24" s="47">
        <f>$AU$24-$AT$24</f>
        <v/>
      </c>
      <c r="AX24" s="4" t="n">
        <v>1676.74</v>
      </c>
      <c r="AY24" s="47" t="n">
        <v>1676.74</v>
      </c>
      <c r="AZ24" s="47">
        <f>$AX$24-$AW$24</f>
        <v/>
      </c>
      <c r="BA24" s="4" t="n">
        <v>3353.48</v>
      </c>
      <c r="BB24" s="4" t="n">
        <v>0</v>
      </c>
      <c r="BC24" s="4" t="n">
        <v>3353.48</v>
      </c>
      <c r="BD24" s="4" t="n">
        <v>1696.21</v>
      </c>
      <c r="BE24" s="47" t="n">
        <v>1696.21</v>
      </c>
      <c r="BF24" s="47">
        <f>$BD$24-$BC$24</f>
        <v/>
      </c>
      <c r="BG24" s="6" t="n">
        <v>3972.94</v>
      </c>
      <c r="BH24" s="53" t="n">
        <v>3912.32</v>
      </c>
      <c r="BI24" s="53">
        <f>$BG$24-$BF$24</f>
        <v/>
      </c>
      <c r="BJ24" s="4" t="n">
        <v>9022.630000000001</v>
      </c>
      <c r="BK24" s="4" t="n">
        <v>9022.630000000001</v>
      </c>
      <c r="BL24" t="inlineStr">
        <is>
          <t xml:space="preserve"> Match=0 but Roth or Deferral &gt;0. </t>
        </is>
      </c>
    </row>
    <row r="25">
      <c r="A25" t="n">
        <v>20</v>
      </c>
      <c r="B25" s="1" t="n"/>
      <c r="C25" s="1" t="n"/>
      <c r="D25" s="1" t="inlineStr"/>
      <c r="E25" s="2" t="n">
        <v>28921</v>
      </c>
      <c r="F25" s="36" t="n">
        <v>28921</v>
      </c>
      <c r="G25" s="36" t="b">
        <v>1</v>
      </c>
      <c r="H25" s="24" t="n">
        <v>28921</v>
      </c>
      <c r="I25" s="24" t="b">
        <v>1</v>
      </c>
      <c r="J25" s="2" t="n">
        <v>41211</v>
      </c>
      <c r="K25" s="36" t="n">
        <v>41211</v>
      </c>
      <c r="L25" s="36" t="b">
        <v>1</v>
      </c>
      <c r="M25" s="24" t="n">
        <v>41211</v>
      </c>
      <c r="N25" s="24" t="b">
        <v>1</v>
      </c>
      <c r="O25" s="2" t="n">
        <v>41743</v>
      </c>
      <c r="P25" t="inlineStr">
        <is>
          <t>Processed</t>
        </is>
      </c>
      <c r="Q25" s="36" t="n">
        <v>41743</v>
      </c>
      <c r="R25" s="36" t="b">
        <v>1</v>
      </c>
      <c r="S25" s="24" t="n">
        <v>41743</v>
      </c>
      <c r="T25" s="24" t="b">
        <v>1</v>
      </c>
      <c r="V25" s="40" t="n">
        <v>41472</v>
      </c>
      <c r="W25" s="39" t="b">
        <v>0</v>
      </c>
      <c r="X25" s="28" t="n">
        <v>41472</v>
      </c>
      <c r="Y25" s="27" t="b">
        <v>0</v>
      </c>
      <c r="Z25" s="2" t="n">
        <v>41743</v>
      </c>
      <c r="AA25" s="36" t="n">
        <v>41743</v>
      </c>
      <c r="AB25" s="36" t="b">
        <v>1</v>
      </c>
      <c r="AC25" s="24" t="n">
        <v>41743</v>
      </c>
      <c r="AD25" s="24" t="b">
        <v>1</v>
      </c>
      <c r="AE25" s="1" t="inlineStr">
        <is>
          <t>A</t>
        </is>
      </c>
      <c r="AF25" s="1" t="inlineStr">
        <is>
          <t>N</t>
        </is>
      </c>
      <c r="AG25" s="3" t="n">
        <v>0</v>
      </c>
      <c r="AH25" s="1" t="inlineStr">
        <is>
          <t>N</t>
        </is>
      </c>
      <c r="AI25" s="1" t="inlineStr">
        <is>
          <t>N</t>
        </is>
      </c>
      <c r="AJ25" s="4" t="n">
        <v>101124.46</v>
      </c>
      <c r="AK25" s="5" t="n">
        <v>2080.21</v>
      </c>
      <c r="AL25" s="41" t="n">
        <v>2080.21</v>
      </c>
      <c r="AM25" s="41">
        <f>IF(AND(ISNUMBER($AK$25), ISNUMBER($AJ$25)), IF(($AK$25 - $AJ$25)&lt;=1, 0, ($AK$25 - $AJ$25)), "")</f>
        <v/>
      </c>
      <c r="AN25" s="5" t="n">
        <v>10</v>
      </c>
      <c r="AO25" s="29" t="n">
        <v>9</v>
      </c>
      <c r="AP25" s="29" t="b">
        <v>1</v>
      </c>
      <c r="AQ25" s="4" t="n">
        <v>55850.44</v>
      </c>
      <c r="AR25" s="47" t="n">
        <v>55850.44</v>
      </c>
      <c r="AS25" s="47">
        <f>$AQ$25-$AP$25</f>
        <v/>
      </c>
      <c r="AT25" s="4" t="n">
        <v>55850.44</v>
      </c>
      <c r="AU25" s="4" t="n">
        <v>0</v>
      </c>
      <c r="AV25" s="47" t="n">
        <v>0</v>
      </c>
      <c r="AW25" s="47">
        <f>$AU$25-$AT$25</f>
        <v/>
      </c>
      <c r="AX25" s="4" t="n">
        <v>6151.65</v>
      </c>
      <c r="AY25" s="47" t="n">
        <v>6151.65</v>
      </c>
      <c r="AZ25" s="47">
        <f>$AX$25-$AW$25</f>
        <v/>
      </c>
      <c r="BA25" s="4" t="n">
        <v>6151.65</v>
      </c>
      <c r="BB25" s="4" t="n">
        <v>0</v>
      </c>
      <c r="BC25" s="4" t="n">
        <v>6151.65</v>
      </c>
      <c r="BD25" s="4" t="n">
        <v>1668.95</v>
      </c>
      <c r="BE25" s="47" t="n">
        <v>1668.95</v>
      </c>
      <c r="BF25" s="47">
        <f>$BD$25-$BC$25</f>
        <v/>
      </c>
      <c r="BG25" s="6" t="n">
        <v>3909.53</v>
      </c>
      <c r="BH25" s="53" t="n">
        <v>3876.6</v>
      </c>
      <c r="BI25" s="53">
        <f>$BG$25-$BF$25</f>
        <v/>
      </c>
      <c r="BJ25" s="4" t="n">
        <v>11730.13</v>
      </c>
      <c r="BK25" s="4" t="n">
        <v>11730.13</v>
      </c>
      <c r="BL25" t="inlineStr">
        <is>
          <t xml:space="preserve"> Match=0 but Roth or Deferral &gt;0. </t>
        </is>
      </c>
    </row>
    <row r="26">
      <c r="A26" t="n">
        <v>21</v>
      </c>
      <c r="B26" s="1" t="n"/>
      <c r="C26" s="1" t="n"/>
      <c r="D26" s="1" t="inlineStr"/>
      <c r="E26" s="2" t="n">
        <v>25424</v>
      </c>
      <c r="F26" s="36" t="n">
        <v>25424</v>
      </c>
      <c r="G26" s="36" t="b">
        <v>1</v>
      </c>
      <c r="H26" s="24" t="n">
        <v>25424</v>
      </c>
      <c r="I26" s="24" t="b">
        <v>1</v>
      </c>
      <c r="J26" s="2" t="n">
        <v>41645</v>
      </c>
      <c r="K26" s="36" t="n">
        <v>41645</v>
      </c>
      <c r="L26" s="36" t="b">
        <v>1</v>
      </c>
      <c r="M26" s="24" t="n">
        <v>41645</v>
      </c>
      <c r="N26" s="24" t="b">
        <v>1</v>
      </c>
      <c r="O26" s="2" t="n">
        <v>41645</v>
      </c>
      <c r="P26" t="inlineStr">
        <is>
          <t>Processed</t>
        </is>
      </c>
      <c r="Q26" s="36" t="n">
        <v>41645</v>
      </c>
      <c r="R26" s="36" t="b">
        <v>1</v>
      </c>
      <c r="S26" s="24" t="n">
        <v>41645</v>
      </c>
      <c r="T26" s="24" t="b">
        <v>1</v>
      </c>
      <c r="W26" s="39" t="b">
        <v>1</v>
      </c>
      <c r="Y26" s="27" t="b">
        <v>1</v>
      </c>
      <c r="AB26" s="39" t="b">
        <v>1</v>
      </c>
      <c r="AD26" s="27" t="b">
        <v>1</v>
      </c>
      <c r="AE26" s="1" t="inlineStr">
        <is>
          <t>A</t>
        </is>
      </c>
      <c r="AF26" s="1" t="inlineStr">
        <is>
          <t>N</t>
        </is>
      </c>
      <c r="AG26" s="3" t="n">
        <v>0</v>
      </c>
      <c r="AH26" s="1" t="inlineStr">
        <is>
          <t>N</t>
        </is>
      </c>
      <c r="AI26" s="1" t="inlineStr">
        <is>
          <t>N</t>
        </is>
      </c>
      <c r="AJ26" s="4" t="n">
        <v>193978.78</v>
      </c>
      <c r="AK26" s="5" t="n">
        <v>2088</v>
      </c>
      <c r="AL26" s="41" t="n">
        <v>2088</v>
      </c>
      <c r="AM26" s="41">
        <f>IF(AND(ISNUMBER($AK$26), ISNUMBER($AJ$26)), IF(($AK$26 - $AJ$26)&lt;=1, 0, ($AK$26 - $AJ$26)), "")</f>
        <v/>
      </c>
      <c r="AN26" s="5" t="n">
        <v>27</v>
      </c>
      <c r="AO26" s="29" t="n">
        <v>26</v>
      </c>
      <c r="AP26" s="29" t="b">
        <v>1</v>
      </c>
      <c r="AQ26" s="4" t="n">
        <v>107062.45</v>
      </c>
      <c r="AR26" s="47" t="n">
        <v>107062.45</v>
      </c>
      <c r="AS26" s="47">
        <f>$AQ$26-$AP$26</f>
        <v/>
      </c>
      <c r="AT26" s="4" t="n">
        <v>107062.45</v>
      </c>
      <c r="AU26" s="4" t="n">
        <v>3212</v>
      </c>
      <c r="AV26" s="47" t="n">
        <v>3212</v>
      </c>
      <c r="AW26" s="47">
        <f>$AU$26-$AT$26</f>
        <v/>
      </c>
      <c r="AX26" s="4" t="n">
        <v>0</v>
      </c>
      <c r="AY26" s="47" t="n">
        <v>0</v>
      </c>
      <c r="AZ26" s="47">
        <f>$AX$26-$AW$26</f>
        <v/>
      </c>
      <c r="BA26" s="4" t="n">
        <v>3212</v>
      </c>
      <c r="BB26" s="4" t="n">
        <v>0</v>
      </c>
      <c r="BC26" s="4" t="n">
        <v>3212</v>
      </c>
      <c r="BD26" s="4" t="n">
        <v>3212</v>
      </c>
      <c r="BE26" s="47" t="n">
        <v>3212</v>
      </c>
      <c r="BF26" s="47">
        <f>$BD$26-$BC$26</f>
        <v/>
      </c>
      <c r="BG26" s="6" t="n">
        <v>7494.32</v>
      </c>
      <c r="BH26" s="53" t="n">
        <v>7494.32</v>
      </c>
      <c r="BI26" s="53">
        <f>$BG$26-$BF$26</f>
        <v/>
      </c>
      <c r="BJ26" s="4" t="n">
        <v>13918.32</v>
      </c>
      <c r="BK26" s="4" t="n">
        <v>13918.32</v>
      </c>
      <c r="BL26" t="inlineStr">
        <is>
          <t xml:space="preserve"> Match=0 but Roth or Deferral &gt;0. </t>
        </is>
      </c>
    </row>
    <row r="27">
      <c r="A27" t="n">
        <v>22</v>
      </c>
      <c r="B27" s="1" t="n"/>
      <c r="C27" s="1" t="n"/>
      <c r="D27" s="1" t="inlineStr"/>
      <c r="E27" s="2" t="n">
        <v>25125</v>
      </c>
      <c r="F27" s="36" t="n">
        <v>25125</v>
      </c>
      <c r="G27" s="36" t="b">
        <v>1</v>
      </c>
      <c r="H27" s="24" t="n">
        <v>25125</v>
      </c>
      <c r="I27" s="24" t="b">
        <v>1</v>
      </c>
      <c r="J27" s="2" t="n">
        <v>41750</v>
      </c>
      <c r="K27" s="36" t="n">
        <v>41750</v>
      </c>
      <c r="L27" s="36" t="b">
        <v>1</v>
      </c>
      <c r="M27" s="24" t="n">
        <v>41750</v>
      </c>
      <c r="N27" s="24" t="b">
        <v>1</v>
      </c>
      <c r="O27" s="2" t="n">
        <v>41852</v>
      </c>
      <c r="P27" t="inlineStr">
        <is>
          <t>Processed</t>
        </is>
      </c>
      <c r="Q27" s="36" t="n">
        <v>41852</v>
      </c>
      <c r="R27" s="36" t="b">
        <v>1</v>
      </c>
      <c r="S27" s="24" t="n">
        <v>41852</v>
      </c>
      <c r="T27" s="24" t="b">
        <v>1</v>
      </c>
      <c r="W27" s="39" t="b">
        <v>1</v>
      </c>
      <c r="Y27" s="27" t="b">
        <v>1</v>
      </c>
      <c r="AB27" s="39" t="b">
        <v>1</v>
      </c>
      <c r="AD27" s="27" t="b">
        <v>1</v>
      </c>
      <c r="AE27" s="1" t="inlineStr">
        <is>
          <t>A</t>
        </is>
      </c>
      <c r="AF27" s="1" t="inlineStr">
        <is>
          <t>N</t>
        </is>
      </c>
      <c r="AG27" s="3" t="n">
        <v>0</v>
      </c>
      <c r="AH27" s="1" t="inlineStr">
        <is>
          <t>N</t>
        </is>
      </c>
      <c r="AI27" s="1" t="inlineStr">
        <is>
          <t>N</t>
        </is>
      </c>
      <c r="AJ27" s="4" t="n">
        <v>78941.94</v>
      </c>
      <c r="AK27" s="5" t="n">
        <v>1731.8</v>
      </c>
      <c r="AL27" s="41" t="n">
        <v>1731.8</v>
      </c>
      <c r="AM27" s="41">
        <f>IF(AND(ISNUMBER($AK$27), ISNUMBER($AJ$27)), IF(($AK$27 - $AJ$27)&lt;=1, 0, ($AK$27 - $AJ$27)), "")</f>
        <v/>
      </c>
      <c r="AN27" s="5" t="n">
        <v>10</v>
      </c>
      <c r="AO27" s="29" t="n">
        <v>9</v>
      </c>
      <c r="AP27" s="29" t="b">
        <v>1</v>
      </c>
      <c r="AQ27" s="4" t="n">
        <v>44140.42</v>
      </c>
      <c r="AR27" s="47" t="n">
        <v>42179.6</v>
      </c>
      <c r="AS27" s="47">
        <f>$AQ$27-$AP$27</f>
        <v/>
      </c>
      <c r="AT27" s="4" t="n">
        <v>44140.42</v>
      </c>
      <c r="AU27" s="4" t="n">
        <v>2565.75</v>
      </c>
      <c r="AV27" s="47" t="n">
        <v>2565.75</v>
      </c>
      <c r="AW27" s="47">
        <f>$AU$27-$AT$27</f>
        <v/>
      </c>
      <c r="AX27" s="4" t="n">
        <v>0</v>
      </c>
      <c r="AY27" s="47" t="n">
        <v>0</v>
      </c>
      <c r="AZ27" s="47">
        <f>$AX$27-$AW$27</f>
        <v/>
      </c>
      <c r="BA27" s="4" t="n">
        <v>2565.75</v>
      </c>
      <c r="BB27" s="4" t="n">
        <v>0</v>
      </c>
      <c r="BC27" s="4" t="n">
        <v>2565.75</v>
      </c>
      <c r="BD27" s="4" t="n">
        <v>1258.9</v>
      </c>
      <c r="BE27" s="47" t="n">
        <v>1258.9</v>
      </c>
      <c r="BF27" s="47">
        <f>$BD$27-$BC$27</f>
        <v/>
      </c>
      <c r="BG27" s="6" t="n">
        <v>2952.57</v>
      </c>
      <c r="BH27" s="53" t="n">
        <v>2928.67</v>
      </c>
      <c r="BI27" s="53">
        <f>$BG$27-$BF$27</f>
        <v/>
      </c>
      <c r="BJ27" s="4" t="n">
        <v>6777.22</v>
      </c>
      <c r="BK27" s="4" t="n">
        <v>6777.22</v>
      </c>
      <c r="BL27" t="inlineStr">
        <is>
          <t xml:space="preserve"> Match=0 but Roth or Deferral &gt;0. </t>
        </is>
      </c>
    </row>
    <row r="28">
      <c r="A28" t="n">
        <v>23</v>
      </c>
      <c r="B28" s="1" t="n"/>
      <c r="C28" s="1" t="n"/>
      <c r="D28" s="1" t="inlineStr"/>
      <c r="E28" s="2" t="n">
        <v>33109</v>
      </c>
      <c r="F28" s="36" t="n">
        <v>33109</v>
      </c>
      <c r="G28" s="36" t="b">
        <v>1</v>
      </c>
      <c r="H28" s="24" t="n">
        <v>33109</v>
      </c>
      <c r="I28" s="24" t="b">
        <v>1</v>
      </c>
      <c r="J28" s="2" t="n">
        <v>42604</v>
      </c>
      <c r="K28" s="36" t="n">
        <v>42604</v>
      </c>
      <c r="L28" s="36" t="b">
        <v>1</v>
      </c>
      <c r="M28" s="24" t="n">
        <v>42604</v>
      </c>
      <c r="N28" s="24" t="b">
        <v>1</v>
      </c>
      <c r="O28" s="2" t="n">
        <v>42705</v>
      </c>
      <c r="P28" t="inlineStr">
        <is>
          <t>Processed</t>
        </is>
      </c>
      <c r="Q28" s="36" t="n">
        <v>42705</v>
      </c>
      <c r="R28" s="36" t="b">
        <v>1</v>
      </c>
      <c r="S28" s="24" t="n">
        <v>42705</v>
      </c>
      <c r="T28" s="24" t="b">
        <v>1</v>
      </c>
      <c r="W28" s="39" t="b">
        <v>1</v>
      </c>
      <c r="Y28" s="27" t="b">
        <v>1</v>
      </c>
      <c r="AB28" s="39" t="b">
        <v>1</v>
      </c>
      <c r="AD28" s="27" t="b">
        <v>1</v>
      </c>
      <c r="AE28" s="1" t="inlineStr">
        <is>
          <t>A</t>
        </is>
      </c>
      <c r="AF28" s="1" t="inlineStr">
        <is>
          <t>N</t>
        </is>
      </c>
      <c r="AG28" s="3" t="n">
        <v>0</v>
      </c>
      <c r="AH28" s="1" t="inlineStr">
        <is>
          <t>N</t>
        </is>
      </c>
      <c r="AI28" s="1" t="inlineStr">
        <is>
          <t>N</t>
        </is>
      </c>
      <c r="AJ28" s="4" t="n">
        <v>65245.15</v>
      </c>
      <c r="AK28" s="5" t="n">
        <v>2092.08</v>
      </c>
      <c r="AL28" s="41" t="n">
        <v>2092.08</v>
      </c>
      <c r="AM28" s="41">
        <f>IF(AND(ISNUMBER($AK$28), ISNUMBER($AJ$28)), IF(($AK$28 - $AJ$28)&lt;=1, 0, ($AK$28 - $AJ$28)), "")</f>
        <v/>
      </c>
      <c r="AN28" s="5" t="n">
        <v>7</v>
      </c>
      <c r="AO28" s="29" t="n">
        <v>6</v>
      </c>
      <c r="AP28" s="29" t="b">
        <v>1</v>
      </c>
      <c r="AQ28" s="4" t="n">
        <v>50915.99</v>
      </c>
      <c r="AR28" s="47" t="n">
        <v>50915.99</v>
      </c>
      <c r="AS28" s="47">
        <f>$AQ$28-$AP$28</f>
        <v/>
      </c>
      <c r="AT28" s="4" t="n">
        <v>50915.99</v>
      </c>
      <c r="AU28" s="4" t="n">
        <v>0</v>
      </c>
      <c r="AV28" s="47" t="n">
        <v>0</v>
      </c>
      <c r="AW28" s="47">
        <f>$AU$28-$AT$28</f>
        <v/>
      </c>
      <c r="AX28" s="4" t="n">
        <v>4563</v>
      </c>
      <c r="AY28" s="47" t="n">
        <v>4563</v>
      </c>
      <c r="AZ28" s="47">
        <f>$AX$28-$AW$28</f>
        <v/>
      </c>
      <c r="BA28" s="4" t="n">
        <v>4563</v>
      </c>
      <c r="BB28" s="4" t="n">
        <v>0</v>
      </c>
      <c r="BC28" s="4" t="n">
        <v>4563</v>
      </c>
      <c r="BD28" s="4" t="n">
        <v>1520.94</v>
      </c>
      <c r="BE28" s="47" t="n">
        <v>1520.94</v>
      </c>
      <c r="BF28" s="47">
        <f>$BD$28-$BC$28</f>
        <v/>
      </c>
      <c r="BG28" s="6" t="n">
        <v>3564.12</v>
      </c>
      <c r="BH28" s="53" t="n">
        <v>3548.97</v>
      </c>
      <c r="BI28" s="53">
        <f>$BG$28-$BF$28</f>
        <v/>
      </c>
      <c r="BJ28" s="4" t="n">
        <v>9648.060000000001</v>
      </c>
      <c r="BK28" s="4" t="n">
        <v>9648.060000000001</v>
      </c>
      <c r="BL28" t="inlineStr">
        <is>
          <t xml:space="preserve"> Match=0 but Roth or Deferral &gt;0. </t>
        </is>
      </c>
    </row>
    <row r="29">
      <c r="A29" t="n">
        <v>24</v>
      </c>
      <c r="B29" s="1" t="n"/>
      <c r="C29" s="1" t="n"/>
      <c r="D29" s="1" t="inlineStr"/>
      <c r="E29" s="2" t="n">
        <v>36295</v>
      </c>
      <c r="F29" s="36" t="n">
        <v>36295</v>
      </c>
      <c r="G29" s="36" t="b">
        <v>1</v>
      </c>
      <c r="H29" s="24" t="n">
        <v>36295</v>
      </c>
      <c r="I29" s="24" t="b">
        <v>1</v>
      </c>
      <c r="J29" s="2" t="n">
        <v>43200</v>
      </c>
      <c r="K29" s="36" t="n">
        <v>43200</v>
      </c>
      <c r="L29" s="36" t="b">
        <v>1</v>
      </c>
      <c r="M29" s="24" t="n">
        <v>43200</v>
      </c>
      <c r="N29" s="24" t="b">
        <v>1</v>
      </c>
      <c r="O29" s="2" t="n">
        <v>43313</v>
      </c>
      <c r="P29" t="inlineStr">
        <is>
          <t>Processed</t>
        </is>
      </c>
      <c r="Q29" s="36" t="n">
        <v>43313</v>
      </c>
      <c r="R29" s="36" t="b">
        <v>1</v>
      </c>
      <c r="S29" s="24" t="n">
        <v>43313</v>
      </c>
      <c r="T29" s="24" t="b">
        <v>1</v>
      </c>
      <c r="V29" s="40" t="n">
        <v>43336</v>
      </c>
      <c r="W29" s="39" t="b">
        <v>0</v>
      </c>
      <c r="X29" s="28" t="n">
        <v>43336</v>
      </c>
      <c r="Y29" s="27" t="b">
        <v>0</v>
      </c>
      <c r="Z29" s="2" t="n">
        <v>43367</v>
      </c>
      <c r="AA29" s="36" t="n">
        <v>43367</v>
      </c>
      <c r="AB29" s="36" t="b">
        <v>1</v>
      </c>
      <c r="AC29" s="24" t="n">
        <v>43367</v>
      </c>
      <c r="AD29" s="24" t="b">
        <v>1</v>
      </c>
      <c r="AE29" s="1" t="inlineStr">
        <is>
          <t>A</t>
        </is>
      </c>
      <c r="AF29" s="1" t="inlineStr">
        <is>
          <t>N</t>
        </is>
      </c>
      <c r="AG29" s="3" t="n">
        <v>0</v>
      </c>
      <c r="AH29" s="1" t="inlineStr">
        <is>
          <t>N</t>
        </is>
      </c>
      <c r="AI29" s="1" t="inlineStr">
        <is>
          <t>N</t>
        </is>
      </c>
      <c r="AJ29" s="4" t="n">
        <v>33506.53</v>
      </c>
      <c r="AK29" s="5" t="n">
        <v>2084.37</v>
      </c>
      <c r="AL29" s="41" t="n">
        <v>2084.37</v>
      </c>
      <c r="AM29" s="41">
        <f>IF(AND(ISNUMBER($AK$29), ISNUMBER($AJ$29)), IF(($AK$29 - $AJ$29)&lt;=1, 0, ($AK$29 - $AJ$29)), "")</f>
        <v/>
      </c>
      <c r="AN29" s="5" t="n">
        <v>6</v>
      </c>
      <c r="AO29" s="29" t="n">
        <v>5</v>
      </c>
      <c r="AP29" s="29" t="b">
        <v>1</v>
      </c>
      <c r="AQ29" s="4" t="n">
        <v>47933.51</v>
      </c>
      <c r="AR29" s="47" t="n">
        <v>47933.51</v>
      </c>
      <c r="AS29" s="47">
        <f>$AQ$29-$AP$29</f>
        <v/>
      </c>
      <c r="AT29" s="4" t="n">
        <v>47933.51</v>
      </c>
      <c r="AU29" s="4" t="n">
        <v>1425.51</v>
      </c>
      <c r="AV29" s="47" t="n">
        <v>1425.51</v>
      </c>
      <c r="AW29" s="47">
        <f>$AU$29-$AT$29</f>
        <v/>
      </c>
      <c r="AX29" s="4" t="n">
        <v>0</v>
      </c>
      <c r="AY29" s="47" t="n">
        <v>0</v>
      </c>
      <c r="AZ29" s="47">
        <f>$AX$29-$AW$29</f>
        <v/>
      </c>
      <c r="BA29" s="4" t="n">
        <v>1425.51</v>
      </c>
      <c r="BB29" s="4" t="n">
        <v>0</v>
      </c>
      <c r="BC29" s="4" t="n">
        <v>1425.51</v>
      </c>
      <c r="BD29" s="4" t="n">
        <v>1425.51</v>
      </c>
      <c r="BE29" s="47" t="n">
        <v>1425.51</v>
      </c>
      <c r="BF29" s="47">
        <f>$BD$29-$BC$29</f>
        <v/>
      </c>
      <c r="BG29" s="6" t="n">
        <v>3355.35</v>
      </c>
      <c r="BH29" s="53" t="n">
        <v>3326.17</v>
      </c>
      <c r="BI29" s="53">
        <f>$BG$29-$BF$29</f>
        <v/>
      </c>
      <c r="BJ29" s="4" t="n">
        <v>6206.37</v>
      </c>
      <c r="BK29" s="4" t="n">
        <v>6206.37</v>
      </c>
      <c r="BL29" t="inlineStr">
        <is>
          <t xml:space="preserve"> Match=0 but Roth or Deferral &gt;0. </t>
        </is>
      </c>
    </row>
    <row r="30">
      <c r="A30" t="n">
        <v>25</v>
      </c>
      <c r="B30" s="1" t="n"/>
      <c r="C30" s="1" t="n"/>
      <c r="D30" s="1" t="inlineStr"/>
      <c r="E30" s="2" t="n">
        <v>27379</v>
      </c>
      <c r="F30" s="36" t="n">
        <v>27379</v>
      </c>
      <c r="G30" s="36" t="b">
        <v>1</v>
      </c>
      <c r="H30" s="24" t="n">
        <v>27379</v>
      </c>
      <c r="I30" s="24" t="b">
        <v>1</v>
      </c>
      <c r="J30" s="2" t="n">
        <v>43213</v>
      </c>
      <c r="K30" s="36" t="n">
        <v>43213</v>
      </c>
      <c r="L30" s="36" t="b">
        <v>1</v>
      </c>
      <c r="M30" s="24" t="n">
        <v>43213</v>
      </c>
      <c r="N30" s="24" t="b">
        <v>1</v>
      </c>
      <c r="O30" s="2" t="n">
        <v>43313</v>
      </c>
      <c r="P30" t="inlineStr">
        <is>
          <t>Processed</t>
        </is>
      </c>
      <c r="Q30" s="36" t="n">
        <v>43313</v>
      </c>
      <c r="R30" s="36" t="b">
        <v>1</v>
      </c>
      <c r="S30" s="24" t="n">
        <v>43313</v>
      </c>
      <c r="T30" s="24" t="b">
        <v>1</v>
      </c>
      <c r="W30" s="39" t="b">
        <v>1</v>
      </c>
      <c r="Y30" s="27" t="b">
        <v>1</v>
      </c>
      <c r="AB30" s="39" t="b">
        <v>1</v>
      </c>
      <c r="AD30" s="27" t="b">
        <v>1</v>
      </c>
      <c r="AE30" s="1" t="inlineStr">
        <is>
          <t>A</t>
        </is>
      </c>
      <c r="AF30" s="1" t="inlineStr">
        <is>
          <t>N</t>
        </is>
      </c>
      <c r="AG30" s="3" t="n">
        <v>0</v>
      </c>
      <c r="AH30" s="1" t="inlineStr">
        <is>
          <t>N</t>
        </is>
      </c>
      <c r="AI30" s="1" t="inlineStr">
        <is>
          <t>N</t>
        </is>
      </c>
      <c r="AJ30" s="4" t="n">
        <v>288263.65</v>
      </c>
      <c r="AK30" s="5" t="n">
        <v>2080</v>
      </c>
      <c r="AL30" s="41" t="n">
        <v>2080</v>
      </c>
      <c r="AM30" s="41">
        <f>IF(AND(ISNUMBER($AK$30), ISNUMBER($AJ$30)), IF(($AK$30 - $AJ$30)&lt;=1, 0, ($AK$30 - $AJ$30)), "")</f>
        <v/>
      </c>
      <c r="AN30" s="5" t="n">
        <v>13</v>
      </c>
      <c r="AO30" s="29" t="n">
        <v>12</v>
      </c>
      <c r="AP30" s="29" t="b">
        <v>1</v>
      </c>
      <c r="AQ30" s="4" t="n">
        <v>69778.92</v>
      </c>
      <c r="AR30" s="47" t="n">
        <v>69778.92</v>
      </c>
      <c r="AS30" s="47">
        <f>$AQ$30-$AP$30</f>
        <v/>
      </c>
      <c r="AT30" s="4" t="n">
        <v>69778.92</v>
      </c>
      <c r="AU30" s="4" t="n">
        <v>8373.459999999999</v>
      </c>
      <c r="AV30" s="47" t="n">
        <v>8373.459999999999</v>
      </c>
      <c r="AW30" s="47">
        <f>$AU$30-$AT$30</f>
        <v/>
      </c>
      <c r="AX30" s="4" t="n">
        <v>1350</v>
      </c>
      <c r="AY30" s="47" t="n">
        <v>1350</v>
      </c>
      <c r="AZ30" s="47">
        <f>$AX$30-$AW$30</f>
        <v/>
      </c>
      <c r="BA30" s="4" t="n">
        <v>9723.459999999999</v>
      </c>
      <c r="BB30" s="4" t="n">
        <v>0</v>
      </c>
      <c r="BC30" s="4" t="n">
        <v>9723.459999999999</v>
      </c>
      <c r="BD30" s="4" t="n">
        <v>2093.31</v>
      </c>
      <c r="BE30" s="47" t="n">
        <v>2093.31</v>
      </c>
      <c r="BF30" s="47">
        <f>$BD$30-$BC$30</f>
        <v/>
      </c>
      <c r="BG30" s="6" t="n">
        <v>4884.55</v>
      </c>
      <c r="BH30" s="53" t="n">
        <v>4884.55</v>
      </c>
      <c r="BI30" s="53">
        <f>$BG$30-$BF$30</f>
        <v/>
      </c>
      <c r="BJ30" s="4" t="n">
        <v>16701.32</v>
      </c>
      <c r="BK30" s="4" t="n">
        <v>16701.32</v>
      </c>
      <c r="BL30" t="inlineStr">
        <is>
          <t xml:space="preserve"> Match=0 but Roth or Deferral &gt;0. </t>
        </is>
      </c>
    </row>
    <row r="31">
      <c r="A31" t="n">
        <v>26</v>
      </c>
      <c r="B31" s="1" t="n"/>
      <c r="C31" s="1" t="n"/>
      <c r="D31" s="1" t="inlineStr"/>
      <c r="E31" s="2" t="n">
        <v>35400</v>
      </c>
      <c r="F31" s="36" t="n">
        <v>35400</v>
      </c>
      <c r="G31" s="36" t="b">
        <v>1</v>
      </c>
      <c r="H31" s="24" t="n">
        <v>35400</v>
      </c>
      <c r="I31" s="24" t="b">
        <v>1</v>
      </c>
      <c r="J31" s="2" t="n">
        <v>43262</v>
      </c>
      <c r="K31" s="36" t="n">
        <v>43262</v>
      </c>
      <c r="L31" s="36" t="b">
        <v>1</v>
      </c>
      <c r="M31" s="24" t="n">
        <v>43262</v>
      </c>
      <c r="N31" s="24" t="b">
        <v>1</v>
      </c>
      <c r="O31" s="2" t="n">
        <v>43374</v>
      </c>
      <c r="P31" t="inlineStr">
        <is>
          <t>Processed</t>
        </is>
      </c>
      <c r="Q31" s="36" t="n">
        <v>43374</v>
      </c>
      <c r="R31" s="36" t="b">
        <v>1</v>
      </c>
      <c r="S31" s="24" t="n">
        <v>43374</v>
      </c>
      <c r="T31" s="24" t="b">
        <v>1</v>
      </c>
      <c r="W31" s="39" t="b">
        <v>1</v>
      </c>
      <c r="Y31" s="27" t="b">
        <v>1</v>
      </c>
      <c r="AB31" s="39" t="b">
        <v>1</v>
      </c>
      <c r="AD31" s="27" t="b">
        <v>1</v>
      </c>
      <c r="AE31" s="1" t="inlineStr">
        <is>
          <t>A</t>
        </is>
      </c>
      <c r="AF31" s="1" t="inlineStr">
        <is>
          <t>N</t>
        </is>
      </c>
      <c r="AG31" s="3" t="n">
        <v>0</v>
      </c>
      <c r="AH31" s="1" t="inlineStr">
        <is>
          <t>N</t>
        </is>
      </c>
      <c r="AI31" s="1" t="inlineStr">
        <is>
          <t>N</t>
        </is>
      </c>
      <c r="AJ31" s="4" t="n">
        <v>35295.7</v>
      </c>
      <c r="AK31" s="5" t="n">
        <v>2175.53</v>
      </c>
      <c r="AL31" s="41" t="n">
        <v>2175.53</v>
      </c>
      <c r="AM31" s="41">
        <f>IF(AND(ISNUMBER($AK$31), ISNUMBER($AJ$31)), IF(($AK$31 - $AJ$31)&lt;=1, 0, ($AK$31 - $AJ$31)), "")</f>
        <v/>
      </c>
      <c r="AN31" s="5" t="n">
        <v>5</v>
      </c>
      <c r="AO31" s="29" t="n">
        <v>4</v>
      </c>
      <c r="AP31" s="29" t="b">
        <v>1</v>
      </c>
      <c r="AQ31" s="4" t="n">
        <v>54641.43</v>
      </c>
      <c r="AR31" s="47" t="n">
        <v>52378.79</v>
      </c>
      <c r="AS31" s="47">
        <f>$AQ$31-$AP$31</f>
        <v/>
      </c>
      <c r="AT31" s="4" t="n">
        <v>54641.43</v>
      </c>
      <c r="AU31" s="4" t="n">
        <v>0</v>
      </c>
      <c r="AV31" s="47" t="n">
        <v>0</v>
      </c>
      <c r="AW31" s="47">
        <f>$AU$31-$AT$31</f>
        <v/>
      </c>
      <c r="AX31" s="4" t="n">
        <v>1560.28</v>
      </c>
      <c r="AY31" s="47" t="n">
        <v>1560.28</v>
      </c>
      <c r="AZ31" s="47">
        <f>$AX$31-$AW$31</f>
        <v/>
      </c>
      <c r="BA31" s="4" t="n">
        <v>1560.28</v>
      </c>
      <c r="BB31" s="4" t="n">
        <v>0</v>
      </c>
      <c r="BC31" s="4" t="n">
        <v>1560.28</v>
      </c>
      <c r="BD31" s="4" t="n">
        <v>1560.28</v>
      </c>
      <c r="BE31" s="47" t="n">
        <v>1560.28</v>
      </c>
      <c r="BF31" s="47">
        <f>$BD$31-$BC$31</f>
        <v/>
      </c>
      <c r="BG31" s="6" t="n">
        <v>3383.67</v>
      </c>
      <c r="BH31" s="53" t="n">
        <v>3385.61</v>
      </c>
      <c r="BI31" s="53">
        <f>$BG$31-$BF$31</f>
        <v/>
      </c>
      <c r="BJ31" s="4" t="n">
        <v>6504.23</v>
      </c>
      <c r="BK31" s="4" t="n">
        <v>6504.23</v>
      </c>
      <c r="BL31" t="inlineStr">
        <is>
          <t xml:space="preserve"> Match=0 but Roth or Deferral &gt;0. </t>
        </is>
      </c>
    </row>
    <row r="32">
      <c r="A32" t="n">
        <v>27</v>
      </c>
      <c r="B32" s="1" t="n"/>
      <c r="C32" s="1" t="n"/>
      <c r="D32" s="1" t="inlineStr"/>
      <c r="E32" s="2" t="n">
        <v>26043</v>
      </c>
      <c r="F32" s="36" t="n">
        <v>26043</v>
      </c>
      <c r="G32" s="36" t="b">
        <v>1</v>
      </c>
      <c r="H32" s="24" t="n">
        <v>26043</v>
      </c>
      <c r="I32" s="24" t="b">
        <v>1</v>
      </c>
      <c r="J32" s="2" t="n">
        <v>43332</v>
      </c>
      <c r="K32" s="36" t="n">
        <v>43332</v>
      </c>
      <c r="L32" s="36" t="b">
        <v>1</v>
      </c>
      <c r="M32" s="24" t="n">
        <v>43332</v>
      </c>
      <c r="N32" s="24" t="b">
        <v>1</v>
      </c>
      <c r="O32" s="2" t="n">
        <v>43435</v>
      </c>
      <c r="P32" t="inlineStr">
        <is>
          <t>Processed</t>
        </is>
      </c>
      <c r="Q32" s="36" t="n">
        <v>43435</v>
      </c>
      <c r="R32" s="36" t="b">
        <v>1</v>
      </c>
      <c r="S32" s="24" t="n">
        <v>43435</v>
      </c>
      <c r="T32" s="24" t="b">
        <v>1</v>
      </c>
      <c r="W32" s="39" t="b">
        <v>1</v>
      </c>
      <c r="Y32" s="27" t="b">
        <v>1</v>
      </c>
      <c r="AB32" s="39" t="b">
        <v>1</v>
      </c>
      <c r="AD32" s="27" t="b">
        <v>1</v>
      </c>
      <c r="AE32" s="1" t="inlineStr">
        <is>
          <t>A</t>
        </is>
      </c>
      <c r="AF32" s="1" t="inlineStr">
        <is>
          <t>N</t>
        </is>
      </c>
      <c r="AG32" s="3" t="n">
        <v>0</v>
      </c>
      <c r="AH32" s="1" t="inlineStr">
        <is>
          <t>N</t>
        </is>
      </c>
      <c r="AI32" s="1" t="inlineStr">
        <is>
          <t>N</t>
        </is>
      </c>
      <c r="AJ32" s="4" t="n">
        <v>39825.43</v>
      </c>
      <c r="AK32" s="5" t="n">
        <v>2163.12</v>
      </c>
      <c r="AL32" s="41" t="n">
        <v>2163.12</v>
      </c>
      <c r="AM32" s="41">
        <f>IF(AND(ISNUMBER($AK$32), ISNUMBER($AJ$32)), IF(($AK$32 - $AJ$32)&lt;=1, 0, ($AK$32 - $AJ$32)), "")</f>
        <v/>
      </c>
      <c r="AN32" s="5" t="n">
        <v>5</v>
      </c>
      <c r="AO32" s="29" t="n">
        <v>4</v>
      </c>
      <c r="AP32" s="29" t="b">
        <v>1</v>
      </c>
      <c r="AQ32" s="4" t="n">
        <v>54733.93</v>
      </c>
      <c r="AR32" s="47" t="n">
        <v>52377.45</v>
      </c>
      <c r="AS32" s="47">
        <f>$AQ$32-$AP$32</f>
        <v/>
      </c>
      <c r="AT32" s="4" t="n">
        <v>54733.93</v>
      </c>
      <c r="AU32" s="4" t="n">
        <v>1563.33</v>
      </c>
      <c r="AV32" s="47" t="n">
        <v>1563.33</v>
      </c>
      <c r="AW32" s="47">
        <f>$AU$32-$AT$32</f>
        <v/>
      </c>
      <c r="AX32" s="4" t="n">
        <v>0</v>
      </c>
      <c r="AY32" s="47" t="n">
        <v>0</v>
      </c>
      <c r="AZ32" s="47">
        <f>$AX$32-$AW$32</f>
        <v/>
      </c>
      <c r="BA32" s="4" t="n">
        <v>1563.33</v>
      </c>
      <c r="BB32" s="4" t="n">
        <v>0</v>
      </c>
      <c r="BC32" s="4" t="n">
        <v>1563.33</v>
      </c>
      <c r="BD32" s="4" t="n">
        <v>1563.33</v>
      </c>
      <c r="BE32" s="47" t="n">
        <v>1563.33</v>
      </c>
      <c r="BF32" s="47">
        <f>$BD$32-$BC$32</f>
        <v/>
      </c>
      <c r="BG32" s="6" t="n">
        <v>3383.58</v>
      </c>
      <c r="BH32" s="53" t="n">
        <v>3366.37</v>
      </c>
      <c r="BI32" s="53">
        <f>$BG$32-$BF$32</f>
        <v/>
      </c>
      <c r="BJ32" s="4" t="n">
        <v>6510.24</v>
      </c>
      <c r="BK32" s="4" t="n">
        <v>6510.24</v>
      </c>
      <c r="BL32" t="inlineStr">
        <is>
          <t xml:space="preserve"> Match=0 but Roth or Deferral &gt;0. </t>
        </is>
      </c>
    </row>
    <row r="33">
      <c r="A33" t="n">
        <v>28</v>
      </c>
      <c r="B33" s="1" t="n"/>
      <c r="C33" s="1" t="n"/>
      <c r="D33" s="1" t="inlineStr"/>
      <c r="E33" s="2" t="n">
        <v>24671</v>
      </c>
      <c r="F33" s="36" t="n">
        <v>24671</v>
      </c>
      <c r="G33" s="36" t="b">
        <v>1</v>
      </c>
      <c r="H33" s="24" t="n">
        <v>24671</v>
      </c>
      <c r="I33" s="24" t="b">
        <v>1</v>
      </c>
      <c r="J33" s="2" t="n">
        <v>43333</v>
      </c>
      <c r="K33" s="36" t="n">
        <v>43333</v>
      </c>
      <c r="L33" s="36" t="b">
        <v>1</v>
      </c>
      <c r="M33" s="24" t="n">
        <v>43333</v>
      </c>
      <c r="N33" s="24" t="b">
        <v>1</v>
      </c>
      <c r="O33" s="2" t="n">
        <v>43435</v>
      </c>
      <c r="P33" t="inlineStr">
        <is>
          <t>Processed</t>
        </is>
      </c>
      <c r="Q33" s="36" t="n">
        <v>43435</v>
      </c>
      <c r="R33" s="36" t="b">
        <v>1</v>
      </c>
      <c r="S33" s="24" t="n">
        <v>43435</v>
      </c>
      <c r="T33" s="24" t="b">
        <v>1</v>
      </c>
      <c r="W33" s="39" t="b">
        <v>1</v>
      </c>
      <c r="Y33" s="27" t="b">
        <v>1</v>
      </c>
      <c r="AB33" s="39" t="b">
        <v>1</v>
      </c>
      <c r="AD33" s="27" t="b">
        <v>1</v>
      </c>
      <c r="AE33" s="1" t="inlineStr">
        <is>
          <t>A</t>
        </is>
      </c>
      <c r="AF33" s="1" t="inlineStr">
        <is>
          <t>N</t>
        </is>
      </c>
      <c r="AG33" s="3" t="n">
        <v>0</v>
      </c>
      <c r="AH33" s="1" t="inlineStr">
        <is>
          <t>N</t>
        </is>
      </c>
      <c r="AI33" s="1" t="inlineStr">
        <is>
          <t>N</t>
        </is>
      </c>
      <c r="AJ33" s="4" t="n">
        <v>29273.62</v>
      </c>
      <c r="AK33" s="5" t="n">
        <v>1855.99</v>
      </c>
      <c r="AL33" s="41" t="n">
        <v>1855.99</v>
      </c>
      <c r="AM33" s="41">
        <f>IF(AND(ISNUMBER($AK$33), ISNUMBER($AJ$33)), IF(($AK$33 - $AJ$33)&lt;=1, 0, ($AK$33 - $AJ$33)), "")</f>
        <v/>
      </c>
      <c r="AN33" s="5" t="n">
        <v>5</v>
      </c>
      <c r="AO33" s="29" t="n">
        <v>4</v>
      </c>
      <c r="AP33" s="29" t="b">
        <v>1</v>
      </c>
      <c r="AQ33" s="4" t="n">
        <v>43307.18</v>
      </c>
      <c r="AR33" s="47" t="n">
        <v>43307.18</v>
      </c>
      <c r="AS33" s="47">
        <f>$AQ$33-$AP$33</f>
        <v/>
      </c>
      <c r="AT33" s="4" t="n">
        <v>43307.18</v>
      </c>
      <c r="AU33" s="4" t="n">
        <v>0</v>
      </c>
      <c r="AV33" s="47" t="n">
        <v>0</v>
      </c>
      <c r="AW33" s="47">
        <f>$AU$33-$AT$33</f>
        <v/>
      </c>
      <c r="AX33" s="4" t="n">
        <v>4219.14</v>
      </c>
      <c r="AY33" s="47" t="n">
        <v>4219.14</v>
      </c>
      <c r="AZ33" s="47">
        <f>$AX$33-$AW$33</f>
        <v/>
      </c>
      <c r="BA33" s="4" t="n">
        <v>4219.14</v>
      </c>
      <c r="BB33" s="4" t="n">
        <v>0</v>
      </c>
      <c r="BC33" s="4" t="n">
        <v>4219.14</v>
      </c>
      <c r="BD33" s="4" t="n">
        <v>1292.71</v>
      </c>
      <c r="BE33" s="47" t="n">
        <v>1292.71</v>
      </c>
      <c r="BF33" s="47">
        <f>$BD$33-$BC$33</f>
        <v/>
      </c>
      <c r="BG33" s="6" t="n">
        <v>2797.64</v>
      </c>
      <c r="BH33" s="53" t="n">
        <v>2783.68</v>
      </c>
      <c r="BI33" s="53">
        <f>$BG$33-$BF$33</f>
        <v/>
      </c>
      <c r="BJ33" s="4" t="n">
        <v>8309.49</v>
      </c>
      <c r="BK33" s="4" t="n">
        <v>8309.49</v>
      </c>
      <c r="BL33" t="inlineStr">
        <is>
          <t xml:space="preserve"> Match=0 but Roth or Deferral &gt;0. </t>
        </is>
      </c>
    </row>
    <row r="34">
      <c r="A34" t="n">
        <v>29</v>
      </c>
      <c r="B34" s="1" t="n"/>
      <c r="C34" s="1" t="n"/>
      <c r="D34" s="1" t="inlineStr"/>
      <c r="E34" s="2" t="n">
        <v>28630</v>
      </c>
      <c r="F34" s="36" t="n">
        <v>28630</v>
      </c>
      <c r="G34" s="36" t="b">
        <v>1</v>
      </c>
      <c r="H34" s="24" t="n">
        <v>28630</v>
      </c>
      <c r="I34" s="24" t="b">
        <v>1</v>
      </c>
      <c r="J34" s="2" t="n">
        <v>43353</v>
      </c>
      <c r="K34" s="36" t="n">
        <v>43353</v>
      </c>
      <c r="L34" s="36" t="b">
        <v>1</v>
      </c>
      <c r="M34" s="24" t="n">
        <v>43353</v>
      </c>
      <c r="N34" s="24" t="b">
        <v>1</v>
      </c>
      <c r="O34" s="2" t="n">
        <v>43466</v>
      </c>
      <c r="P34" t="inlineStr">
        <is>
          <t>Processed</t>
        </is>
      </c>
      <c r="Q34" s="36" t="n">
        <v>43466</v>
      </c>
      <c r="R34" s="36" t="b">
        <v>1</v>
      </c>
      <c r="S34" s="24" t="n">
        <v>43466</v>
      </c>
      <c r="T34" s="24" t="b">
        <v>1</v>
      </c>
      <c r="W34" s="39" t="b">
        <v>1</v>
      </c>
      <c r="Y34" s="27" t="b">
        <v>1</v>
      </c>
      <c r="AB34" s="39" t="b">
        <v>1</v>
      </c>
      <c r="AD34" s="27" t="b">
        <v>1</v>
      </c>
      <c r="AE34" s="1" t="inlineStr">
        <is>
          <t>A</t>
        </is>
      </c>
      <c r="AF34" s="1" t="inlineStr">
        <is>
          <t>N</t>
        </is>
      </c>
      <c r="AG34" s="3" t="n">
        <v>0</v>
      </c>
      <c r="AH34" s="1" t="inlineStr">
        <is>
          <t>N</t>
        </is>
      </c>
      <c r="AI34" s="1" t="inlineStr">
        <is>
          <t>N</t>
        </is>
      </c>
      <c r="AJ34" s="4" t="n">
        <v>72883.47</v>
      </c>
      <c r="AK34" s="5" t="n">
        <v>2080</v>
      </c>
      <c r="AL34" s="41" t="n">
        <v>2080</v>
      </c>
      <c r="AM34" s="41">
        <f>IF(AND(ISNUMBER($AK$34), ISNUMBER($AJ$34)), IF(($AK$34 - $AJ$34)&lt;=1, 0, ($AK$34 - $AJ$34)), "")</f>
        <v/>
      </c>
      <c r="AN34" s="5" t="n">
        <v>5</v>
      </c>
      <c r="AO34" s="29" t="n">
        <v>4</v>
      </c>
      <c r="AP34" s="29" t="b">
        <v>1</v>
      </c>
      <c r="AQ34" s="4" t="n">
        <v>111290.76</v>
      </c>
      <c r="AR34" s="47" t="n">
        <v>111290.76</v>
      </c>
      <c r="AS34" s="47">
        <f>$AQ$34-$AP$34</f>
        <v/>
      </c>
      <c r="AT34" s="4" t="n">
        <v>111290.76</v>
      </c>
      <c r="AU34" s="4" t="n">
        <v>3335.52</v>
      </c>
      <c r="AV34" s="47" t="n">
        <v>3335.52</v>
      </c>
      <c r="AW34" s="47">
        <f>$AU$34-$AT$34</f>
        <v/>
      </c>
      <c r="AX34" s="4" t="n">
        <v>0</v>
      </c>
      <c r="AY34" s="47" t="n">
        <v>0</v>
      </c>
      <c r="AZ34" s="47">
        <f>$AX$34-$AW$34</f>
        <v/>
      </c>
      <c r="BA34" s="4" t="n">
        <v>3335.52</v>
      </c>
      <c r="BB34" s="4" t="n">
        <v>0</v>
      </c>
      <c r="BC34" s="4" t="n">
        <v>3335.52</v>
      </c>
      <c r="BD34" s="4" t="n">
        <v>3335.52</v>
      </c>
      <c r="BE34" s="47" t="n">
        <v>3335.52</v>
      </c>
      <c r="BF34" s="47">
        <f>$BD$34-$BC$34</f>
        <v/>
      </c>
      <c r="BG34" s="6" t="n">
        <v>7790.35</v>
      </c>
      <c r="BH34" s="53" t="n">
        <v>7783.14</v>
      </c>
      <c r="BI34" s="53">
        <f>$BG$34-$BF$34</f>
        <v/>
      </c>
      <c r="BJ34" s="4" t="n">
        <v>14461.39</v>
      </c>
      <c r="BK34" s="4" t="n">
        <v>14461.39</v>
      </c>
      <c r="BL34" t="inlineStr">
        <is>
          <t xml:space="preserve"> Match=0 but Roth or Deferral &gt;0. </t>
        </is>
      </c>
    </row>
    <row r="35">
      <c r="A35" t="n">
        <v>30</v>
      </c>
      <c r="B35" s="1" t="n"/>
      <c r="C35" s="1" t="n"/>
      <c r="D35" s="1" t="inlineStr"/>
      <c r="E35" s="2" t="n">
        <v>25036</v>
      </c>
      <c r="F35" s="36" t="n">
        <v>25036</v>
      </c>
      <c r="G35" s="36" t="b">
        <v>1</v>
      </c>
      <c r="H35" s="24" t="n">
        <v>25036</v>
      </c>
      <c r="I35" s="24" t="b">
        <v>1</v>
      </c>
      <c r="J35" s="2" t="n">
        <v>43367</v>
      </c>
      <c r="K35" s="36" t="n">
        <v>43367</v>
      </c>
      <c r="L35" s="36" t="b">
        <v>1</v>
      </c>
      <c r="M35" s="24" t="n">
        <v>43367</v>
      </c>
      <c r="N35" s="24" t="b">
        <v>1</v>
      </c>
      <c r="O35" s="2" t="n">
        <v>43466</v>
      </c>
      <c r="P35" t="inlineStr">
        <is>
          <t>Processed</t>
        </is>
      </c>
      <c r="Q35" s="36" t="n">
        <v>43466</v>
      </c>
      <c r="R35" s="36" t="b">
        <v>1</v>
      </c>
      <c r="S35" s="24" t="n">
        <v>43466</v>
      </c>
      <c r="T35" s="24" t="b">
        <v>1</v>
      </c>
      <c r="W35" s="39" t="b">
        <v>1</v>
      </c>
      <c r="Y35" s="27" t="b">
        <v>1</v>
      </c>
      <c r="AB35" s="39" t="b">
        <v>1</v>
      </c>
      <c r="AD35" s="27" t="b">
        <v>1</v>
      </c>
      <c r="AE35" s="1" t="inlineStr">
        <is>
          <t>A</t>
        </is>
      </c>
      <c r="AF35" s="1" t="inlineStr">
        <is>
          <t>N</t>
        </is>
      </c>
      <c r="AG35" s="3" t="n">
        <v>0</v>
      </c>
      <c r="AH35" s="1" t="inlineStr">
        <is>
          <t>N</t>
        </is>
      </c>
      <c r="AI35" s="1" t="inlineStr">
        <is>
          <t>N</t>
        </is>
      </c>
      <c r="AJ35" s="4" t="n">
        <v>191557.9</v>
      </c>
      <c r="AK35" s="5" t="n">
        <v>2096</v>
      </c>
      <c r="AL35" s="41" t="n">
        <v>2096</v>
      </c>
      <c r="AM35" s="41">
        <f>IF(AND(ISNUMBER($AK$35), ISNUMBER($AJ$35)), IF(($AK$35 - $AJ$35)&lt;=1, 0, ($AK$35 - $AJ$35)), "")</f>
        <v/>
      </c>
      <c r="AN35" s="5" t="n">
        <v>5</v>
      </c>
      <c r="AO35" s="29" t="n">
        <v>4</v>
      </c>
      <c r="AP35" s="29" t="b">
        <v>1</v>
      </c>
      <c r="AQ35" s="4" t="n">
        <v>87805.82000000001</v>
      </c>
      <c r="AR35" s="47" t="n">
        <v>87805.82000000001</v>
      </c>
      <c r="AS35" s="47">
        <f>$AQ$35-$AP$35</f>
        <v/>
      </c>
      <c r="AT35" s="4" t="n">
        <v>87805.82000000001</v>
      </c>
      <c r="AU35" s="4" t="n">
        <v>14891.85</v>
      </c>
      <c r="AV35" s="47" t="n">
        <v>14891.85</v>
      </c>
      <c r="AW35" s="47">
        <f>$AU$35-$AT$35</f>
        <v/>
      </c>
      <c r="AX35" s="4" t="n">
        <v>14891.85</v>
      </c>
      <c r="AY35" s="47" t="n">
        <v>14891.85</v>
      </c>
      <c r="AZ35" s="47">
        <f>$AX$35-$AW$35</f>
        <v/>
      </c>
      <c r="BA35" s="4" t="n">
        <v>29783.7</v>
      </c>
      <c r="BB35" s="4" t="n">
        <v>6783.700000000001</v>
      </c>
      <c r="BC35" s="4" t="n">
        <v>23000</v>
      </c>
      <c r="BD35" s="4" t="n">
        <v>2634.21</v>
      </c>
      <c r="BE35" s="47" t="n">
        <v>2634.21</v>
      </c>
      <c r="BF35" s="47">
        <f>$BD$35-$BC$35</f>
        <v/>
      </c>
      <c r="BG35" s="6" t="n">
        <v>6146.41</v>
      </c>
      <c r="BH35" s="53" t="n">
        <v>6131.91</v>
      </c>
      <c r="BI35" s="53">
        <f>$BG$35-$BF$35</f>
        <v/>
      </c>
      <c r="BJ35" s="4" t="n">
        <v>38564.32</v>
      </c>
      <c r="BK35" s="4" t="n">
        <v>31780.62</v>
      </c>
    </row>
    <row r="36">
      <c r="A36" t="n">
        <v>31</v>
      </c>
      <c r="B36" s="1" t="n"/>
      <c r="C36" s="1" t="n"/>
      <c r="D36" s="1" t="inlineStr"/>
      <c r="E36" s="2" t="n">
        <v>35885</v>
      </c>
      <c r="F36" s="36" t="n">
        <v>35885</v>
      </c>
      <c r="G36" s="36" t="b">
        <v>1</v>
      </c>
      <c r="H36" s="24" t="n">
        <v>35885</v>
      </c>
      <c r="I36" s="24" t="b">
        <v>1</v>
      </c>
      <c r="J36" s="2" t="n">
        <v>43388</v>
      </c>
      <c r="K36" s="36" t="n">
        <v>43388</v>
      </c>
      <c r="L36" s="36" t="b">
        <v>1</v>
      </c>
      <c r="M36" s="24" t="n">
        <v>43388</v>
      </c>
      <c r="N36" s="24" t="b">
        <v>1</v>
      </c>
      <c r="O36" s="2" t="n">
        <v>43497</v>
      </c>
      <c r="P36" t="inlineStr">
        <is>
          <t>Processed</t>
        </is>
      </c>
      <c r="Q36" s="36" t="n">
        <v>43497</v>
      </c>
      <c r="R36" s="36" t="b">
        <v>1</v>
      </c>
      <c r="S36" s="24" t="n">
        <v>43497</v>
      </c>
      <c r="T36" s="24" t="b">
        <v>1</v>
      </c>
      <c r="W36" s="39" t="b">
        <v>1</v>
      </c>
      <c r="Y36" s="27" t="b">
        <v>1</v>
      </c>
      <c r="AB36" s="39" t="b">
        <v>1</v>
      </c>
      <c r="AD36" s="27" t="b">
        <v>1</v>
      </c>
      <c r="AE36" s="1" t="inlineStr">
        <is>
          <t>A</t>
        </is>
      </c>
      <c r="AF36" s="1" t="inlineStr">
        <is>
          <t>N</t>
        </is>
      </c>
      <c r="AG36" s="3" t="n">
        <v>0</v>
      </c>
      <c r="AH36" s="1" t="inlineStr">
        <is>
          <t>N</t>
        </is>
      </c>
      <c r="AI36" s="1" t="inlineStr">
        <is>
          <t>N</t>
        </is>
      </c>
      <c r="AJ36" s="4" t="n">
        <v>52180.45</v>
      </c>
      <c r="AK36" s="5" t="n">
        <v>2149.19</v>
      </c>
      <c r="AL36" s="41" t="n">
        <v>2149.19</v>
      </c>
      <c r="AM36" s="41">
        <f>IF(AND(ISNUMBER($AK$36), ISNUMBER($AJ$36)), IF(($AK$36 - $AJ$36)&lt;=1, 0, ($AK$36 - $AJ$36)), "")</f>
        <v/>
      </c>
      <c r="AN36" s="5" t="n">
        <v>5</v>
      </c>
      <c r="AO36" s="29" t="n">
        <v>4</v>
      </c>
      <c r="AP36" s="29" t="b">
        <v>1</v>
      </c>
      <c r="AQ36" s="4" t="n">
        <v>56195.44</v>
      </c>
      <c r="AR36" s="47" t="n">
        <v>54147.16</v>
      </c>
      <c r="AS36" s="47">
        <f>$AQ$36-$AP$36</f>
        <v/>
      </c>
      <c r="AT36" s="4" t="n">
        <v>56195.44</v>
      </c>
      <c r="AU36" s="4" t="n">
        <v>3768.15</v>
      </c>
      <c r="AV36" s="47" t="n">
        <v>3768.15</v>
      </c>
      <c r="AW36" s="47">
        <f>$AU$36-$AT$36</f>
        <v/>
      </c>
      <c r="AX36" s="4" t="n">
        <v>4572.64</v>
      </c>
      <c r="AY36" s="47" t="n">
        <v>4572.64</v>
      </c>
      <c r="AZ36" s="47">
        <f>$AX$36-$AW$36</f>
        <v/>
      </c>
      <c r="BA36" s="4" t="n">
        <v>8340.790000000001</v>
      </c>
      <c r="BB36" s="4" t="n">
        <v>0</v>
      </c>
      <c r="BC36" s="4" t="n">
        <v>8340.790000000001</v>
      </c>
      <c r="BD36" s="4" t="n">
        <v>1617.92</v>
      </c>
      <c r="BE36" s="47" t="n">
        <v>1617.92</v>
      </c>
      <c r="BF36" s="47">
        <f>$BD$36-$BC$36</f>
        <v/>
      </c>
      <c r="BG36" s="6" t="n">
        <v>3790.3</v>
      </c>
      <c r="BH36" s="53" t="n">
        <v>3768.15</v>
      </c>
      <c r="BI36" s="53">
        <f>$BG$36-$BF$36</f>
        <v/>
      </c>
      <c r="BJ36" s="4" t="n">
        <v>13749.01</v>
      </c>
      <c r="BK36" s="4" t="n">
        <v>13749.01</v>
      </c>
      <c r="BL36" t="inlineStr">
        <is>
          <t xml:space="preserve"> Match=0 but Roth or Deferral &gt;0. </t>
        </is>
      </c>
    </row>
    <row r="37">
      <c r="A37" t="n">
        <v>32</v>
      </c>
      <c r="B37" s="1" t="n"/>
      <c r="C37" s="1" t="n"/>
      <c r="D37" s="1" t="inlineStr"/>
      <c r="E37" s="2" t="n">
        <v>35523</v>
      </c>
      <c r="F37" s="36" t="n">
        <v>35523</v>
      </c>
      <c r="G37" s="36" t="b">
        <v>1</v>
      </c>
      <c r="H37" s="24" t="n">
        <v>35523</v>
      </c>
      <c r="I37" s="24" t="b">
        <v>1</v>
      </c>
      <c r="J37" s="2" t="n">
        <v>43570</v>
      </c>
      <c r="K37" s="36" t="n">
        <v>43570</v>
      </c>
      <c r="L37" s="36" t="b">
        <v>1</v>
      </c>
      <c r="M37" s="24" t="n">
        <v>43570</v>
      </c>
      <c r="N37" s="24" t="b">
        <v>1</v>
      </c>
      <c r="O37" s="2" t="n">
        <v>43678</v>
      </c>
      <c r="P37" t="inlineStr">
        <is>
          <t>Processed</t>
        </is>
      </c>
      <c r="Q37" s="36" t="n">
        <v>43678</v>
      </c>
      <c r="R37" s="36" t="b">
        <v>1</v>
      </c>
      <c r="S37" s="24" t="n">
        <v>43678</v>
      </c>
      <c r="T37" s="24" t="b">
        <v>1</v>
      </c>
      <c r="W37" s="39" t="b">
        <v>1</v>
      </c>
      <c r="Y37" s="27" t="b">
        <v>1</v>
      </c>
      <c r="AB37" s="39" t="b">
        <v>1</v>
      </c>
      <c r="AD37" s="27" t="b">
        <v>1</v>
      </c>
      <c r="AE37" s="1" t="inlineStr">
        <is>
          <t>A</t>
        </is>
      </c>
      <c r="AF37" s="1" t="inlineStr">
        <is>
          <t>N</t>
        </is>
      </c>
      <c r="AG37" s="3" t="n">
        <v>0</v>
      </c>
      <c r="AH37" s="1" t="inlineStr">
        <is>
          <t>N</t>
        </is>
      </c>
      <c r="AI37" s="1" t="inlineStr">
        <is>
          <t>N</t>
        </is>
      </c>
      <c r="AJ37" s="4" t="n">
        <v>44097.75</v>
      </c>
      <c r="AK37" s="5" t="n">
        <v>2080</v>
      </c>
      <c r="AL37" s="41" t="n">
        <v>2080</v>
      </c>
      <c r="AM37" s="41">
        <f>IF(AND(ISNUMBER($AK$37), ISNUMBER($AJ$37)), IF(($AK$37 - $AJ$37)&lt;=1, 0, ($AK$37 - $AJ$37)), "")</f>
        <v/>
      </c>
      <c r="AN37" s="5" t="n">
        <v>5</v>
      </c>
      <c r="AO37" s="29" t="n">
        <v>4</v>
      </c>
      <c r="AP37" s="29" t="b">
        <v>1</v>
      </c>
      <c r="AQ37" s="4" t="n">
        <v>55401.8</v>
      </c>
      <c r="AR37" s="47" t="n">
        <v>55401.8</v>
      </c>
      <c r="AS37" s="47">
        <f>$AQ$37-$AP$37</f>
        <v/>
      </c>
      <c r="AT37" s="4" t="n">
        <v>55401.8</v>
      </c>
      <c r="AU37" s="4" t="n">
        <v>2709.45</v>
      </c>
      <c r="AV37" s="47" t="n">
        <v>2709.45</v>
      </c>
      <c r="AW37" s="47">
        <f>$AU$37-$AT$37</f>
        <v/>
      </c>
      <c r="AX37" s="4" t="n">
        <v>2709.45</v>
      </c>
      <c r="AY37" s="47" t="n">
        <v>2709.45</v>
      </c>
      <c r="AZ37" s="47">
        <f>$AX$37-$AW$37</f>
        <v/>
      </c>
      <c r="BA37" s="4" t="n">
        <v>5418.9</v>
      </c>
      <c r="BB37" s="4" t="n">
        <v>0</v>
      </c>
      <c r="BC37" s="4" t="n">
        <v>5418.9</v>
      </c>
      <c r="BD37" s="4" t="n">
        <v>1661.96</v>
      </c>
      <c r="BE37" s="47" t="n">
        <v>1661.96</v>
      </c>
      <c r="BF37" s="47">
        <f>$BD$37-$BC$37</f>
        <v/>
      </c>
      <c r="BG37" s="6" t="n">
        <v>3878.13</v>
      </c>
      <c r="BH37" s="53" t="n">
        <v>3793.13</v>
      </c>
      <c r="BI37" s="53">
        <f>$BG$37-$BF$37</f>
        <v/>
      </c>
      <c r="BJ37" s="4" t="n">
        <v>10958.99</v>
      </c>
      <c r="BK37" s="4" t="n">
        <v>10958.99</v>
      </c>
      <c r="BL37" t="inlineStr">
        <is>
          <t xml:space="preserve"> Match=0 but Roth or Deferral &gt;0. </t>
        </is>
      </c>
    </row>
    <row r="38">
      <c r="A38" t="n">
        <v>33</v>
      </c>
      <c r="B38" s="1" t="n"/>
      <c r="C38" s="1" t="n"/>
      <c r="D38" s="1" t="inlineStr"/>
      <c r="E38" s="2" t="n">
        <v>37316</v>
      </c>
      <c r="F38" s="36" t="n">
        <v>37316</v>
      </c>
      <c r="G38" s="36" t="b">
        <v>1</v>
      </c>
      <c r="H38" s="24" t="n">
        <v>37316</v>
      </c>
      <c r="I38" s="24" t="b">
        <v>1</v>
      </c>
      <c r="J38" s="2" t="n">
        <v>43628</v>
      </c>
      <c r="K38" s="36" t="n">
        <v>43628</v>
      </c>
      <c r="L38" s="36" t="b">
        <v>1</v>
      </c>
      <c r="M38" s="24" t="n">
        <v>43628</v>
      </c>
      <c r="N38" s="24" t="b">
        <v>1</v>
      </c>
      <c r="O38" s="2" t="n">
        <v>43739</v>
      </c>
      <c r="P38" t="inlineStr">
        <is>
          <t>Processed</t>
        </is>
      </c>
      <c r="Q38" s="36" t="n">
        <v>43739</v>
      </c>
      <c r="R38" s="36" t="b">
        <v>1</v>
      </c>
      <c r="S38" s="24" t="n">
        <v>43739</v>
      </c>
      <c r="T38" s="24" t="b">
        <v>1</v>
      </c>
      <c r="W38" s="39" t="b">
        <v>1</v>
      </c>
      <c r="Y38" s="27" t="b">
        <v>1</v>
      </c>
      <c r="AB38" s="39" t="b">
        <v>1</v>
      </c>
      <c r="AD38" s="27" t="b">
        <v>1</v>
      </c>
      <c r="AE38" s="1" t="inlineStr">
        <is>
          <t>A</t>
        </is>
      </c>
      <c r="AF38" s="1" t="inlineStr">
        <is>
          <t>N</t>
        </is>
      </c>
      <c r="AG38" s="3" t="n">
        <v>0</v>
      </c>
      <c r="AH38" s="1" t="inlineStr">
        <is>
          <t>N</t>
        </is>
      </c>
      <c r="AI38" s="1" t="inlineStr">
        <is>
          <t>N</t>
        </is>
      </c>
      <c r="AJ38" s="4" t="n">
        <v>23143.59</v>
      </c>
      <c r="AK38" s="5" t="n">
        <v>2080.52</v>
      </c>
      <c r="AL38" s="41" t="n">
        <v>2080.52</v>
      </c>
      <c r="AM38" s="41">
        <f>IF(AND(ISNUMBER($AK$38), ISNUMBER($AJ$38)), IF(($AK$38 - $AJ$38)&lt;=1, 0, ($AK$38 - $AJ$38)), "")</f>
        <v/>
      </c>
      <c r="AN38" s="5" t="n">
        <v>5</v>
      </c>
      <c r="AO38" s="29" t="n">
        <v>4</v>
      </c>
      <c r="AP38" s="29" t="b">
        <v>1</v>
      </c>
      <c r="AQ38" s="4" t="n">
        <v>49574.82</v>
      </c>
      <c r="AR38" s="47" t="n">
        <v>49574.82</v>
      </c>
      <c r="AS38" s="47">
        <f>$AQ$38-$AP$38</f>
        <v/>
      </c>
      <c r="AT38" s="4" t="n">
        <v>49574.82</v>
      </c>
      <c r="AU38" s="4" t="n">
        <v>0</v>
      </c>
      <c r="AV38" s="47" t="n">
        <v>0</v>
      </c>
      <c r="AW38" s="47">
        <f>$AU$38-$AT$38</f>
        <v/>
      </c>
      <c r="AX38" s="4" t="n">
        <v>3438.4</v>
      </c>
      <c r="AY38" s="47" t="n">
        <v>3438.4</v>
      </c>
      <c r="AZ38" s="47">
        <f>$AX$38-$AW$38</f>
        <v/>
      </c>
      <c r="BA38" s="4" t="n">
        <v>3438.4</v>
      </c>
      <c r="BB38" s="4" t="n">
        <v>0</v>
      </c>
      <c r="BC38" s="4" t="n">
        <v>3438.4</v>
      </c>
      <c r="BD38" s="4" t="n">
        <v>1480.7</v>
      </c>
      <c r="BE38" s="47" t="n">
        <v>1480.7</v>
      </c>
      <c r="BF38" s="47">
        <f>$BD$38-$BC$38</f>
        <v/>
      </c>
      <c r="BG38" s="6" t="n">
        <v>3470.24</v>
      </c>
      <c r="BH38" s="53" t="n">
        <v>1723.71</v>
      </c>
      <c r="BI38" s="53">
        <f>$BG$38-$BF$38</f>
        <v/>
      </c>
      <c r="BJ38" s="4" t="n">
        <v>8389.34</v>
      </c>
      <c r="BK38" s="4" t="n">
        <v>8389.34</v>
      </c>
      <c r="BL38" t="inlineStr">
        <is>
          <t xml:space="preserve"> Match=0 but Roth or Deferral &gt;0. </t>
        </is>
      </c>
    </row>
    <row r="39">
      <c r="A39" t="n">
        <v>34</v>
      </c>
      <c r="B39" s="1" t="n"/>
      <c r="C39" s="1" t="n"/>
      <c r="D39" s="1" t="inlineStr"/>
      <c r="E39" s="2" t="n">
        <v>35866</v>
      </c>
      <c r="F39" s="36" t="n">
        <v>35866</v>
      </c>
      <c r="G39" s="36" t="b">
        <v>1</v>
      </c>
      <c r="H39" s="24" t="n">
        <v>35866</v>
      </c>
      <c r="I39" s="24" t="b">
        <v>1</v>
      </c>
      <c r="J39" s="2" t="n">
        <v>43738</v>
      </c>
      <c r="K39" s="36" t="n">
        <v>43738</v>
      </c>
      <c r="L39" s="36" t="b">
        <v>1</v>
      </c>
      <c r="M39" s="24" t="n">
        <v>43738</v>
      </c>
      <c r="N39" s="24" t="b">
        <v>1</v>
      </c>
      <c r="O39" s="2" t="n">
        <v>43831</v>
      </c>
      <c r="P39" t="inlineStr">
        <is>
          <t>Processed</t>
        </is>
      </c>
      <c r="Q39" s="36" t="n">
        <v>43831</v>
      </c>
      <c r="R39" s="36" t="b">
        <v>1</v>
      </c>
      <c r="S39" s="24" t="n">
        <v>43831</v>
      </c>
      <c r="T39" s="24" t="b">
        <v>1</v>
      </c>
      <c r="W39" s="39" t="b">
        <v>1</v>
      </c>
      <c r="Y39" s="27" t="b">
        <v>1</v>
      </c>
      <c r="AB39" s="39" t="b">
        <v>1</v>
      </c>
      <c r="AD39" s="27" t="b">
        <v>1</v>
      </c>
      <c r="AE39" s="1" t="inlineStr">
        <is>
          <t>A</t>
        </is>
      </c>
      <c r="AF39" s="1" t="inlineStr">
        <is>
          <t>N</t>
        </is>
      </c>
      <c r="AG39" s="3" t="n">
        <v>0</v>
      </c>
      <c r="AH39" s="1" t="inlineStr">
        <is>
          <t>N</t>
        </is>
      </c>
      <c r="AI39" s="1" t="inlineStr">
        <is>
          <t>N</t>
        </is>
      </c>
      <c r="AJ39" s="4" t="n">
        <v>21056.02</v>
      </c>
      <c r="AK39" s="5" t="n">
        <v>2127.17</v>
      </c>
      <c r="AL39" s="41" t="n">
        <v>2127.17</v>
      </c>
      <c r="AM39" s="41">
        <f>IF(AND(ISNUMBER($AK$39), ISNUMBER($AJ$39)), IF(($AK$39 - $AJ$39)&lt;=1, 0, ($AK$39 - $AJ$39)), "")</f>
        <v/>
      </c>
      <c r="AN39" s="5" t="n">
        <v>4</v>
      </c>
      <c r="AO39" s="29" t="n">
        <v>3</v>
      </c>
      <c r="AP39" s="29" t="b">
        <v>1</v>
      </c>
      <c r="AQ39" s="4" t="n">
        <v>49036.38</v>
      </c>
      <c r="AR39" s="47" t="n">
        <v>47247.28</v>
      </c>
      <c r="AS39" s="47">
        <f>$AQ$39-$AP$39</f>
        <v/>
      </c>
      <c r="AT39" s="4" t="n">
        <v>49036.38</v>
      </c>
      <c r="AU39" s="4" t="n">
        <v>2345.98</v>
      </c>
      <c r="AV39" s="47" t="n">
        <v>2345.98</v>
      </c>
      <c r="AW39" s="47">
        <f>$AU$39-$AT$39</f>
        <v/>
      </c>
      <c r="AX39" s="4" t="n">
        <v>0</v>
      </c>
      <c r="AY39" s="47" t="n">
        <v>0</v>
      </c>
      <c r="AZ39" s="47">
        <f>$AX$39-$AW$39</f>
        <v/>
      </c>
      <c r="BA39" s="4" t="n">
        <v>2345.98</v>
      </c>
      <c r="BB39" s="4" t="n">
        <v>0</v>
      </c>
      <c r="BC39" s="4" t="n">
        <v>2345.98</v>
      </c>
      <c r="BD39" s="4" t="n">
        <v>1410.91</v>
      </c>
      <c r="BE39" s="47" t="n">
        <v>1410.91</v>
      </c>
      <c r="BF39" s="47">
        <f>$BD$39-$BC$39</f>
        <v/>
      </c>
      <c r="BG39" s="6" t="n">
        <v>3052.17</v>
      </c>
      <c r="BH39" s="53" t="n">
        <v>3031.02</v>
      </c>
      <c r="BI39" s="53">
        <f>$BG$39-$BF$39</f>
        <v/>
      </c>
      <c r="BJ39" s="4" t="n">
        <v>6809.06</v>
      </c>
      <c r="BK39" s="4" t="n">
        <v>6809.06</v>
      </c>
      <c r="BL39" t="inlineStr">
        <is>
          <t xml:space="preserve"> Match=0 but Roth or Deferral &gt;0. </t>
        </is>
      </c>
    </row>
    <row r="40">
      <c r="A40" t="n">
        <v>35</v>
      </c>
      <c r="B40" s="1" t="n"/>
      <c r="C40" s="1" t="n"/>
      <c r="D40" s="1" t="inlineStr"/>
      <c r="E40" s="2" t="n">
        <v>34491</v>
      </c>
      <c r="F40" s="36" t="n">
        <v>34491</v>
      </c>
      <c r="G40" s="36" t="b">
        <v>1</v>
      </c>
      <c r="H40" s="24" t="n">
        <v>34491</v>
      </c>
      <c r="I40" s="24" t="b">
        <v>1</v>
      </c>
      <c r="J40" s="2" t="n">
        <v>43755</v>
      </c>
      <c r="K40" s="36" t="n">
        <v>43755</v>
      </c>
      <c r="L40" s="36" t="b">
        <v>1</v>
      </c>
      <c r="M40" s="24" t="n">
        <v>43755</v>
      </c>
      <c r="N40" s="24" t="b">
        <v>1</v>
      </c>
      <c r="O40" s="2" t="n">
        <v>43862</v>
      </c>
      <c r="P40" t="inlineStr">
        <is>
          <t>Processed</t>
        </is>
      </c>
      <c r="Q40" s="36" t="n">
        <v>43862</v>
      </c>
      <c r="R40" s="36" t="b">
        <v>1</v>
      </c>
      <c r="S40" s="24" t="n">
        <v>43862</v>
      </c>
      <c r="T40" s="24" t="b">
        <v>1</v>
      </c>
      <c r="W40" s="39" t="b">
        <v>1</v>
      </c>
      <c r="Y40" s="27" t="b">
        <v>1</v>
      </c>
      <c r="AB40" s="39" t="b">
        <v>1</v>
      </c>
      <c r="AD40" s="27" t="b">
        <v>1</v>
      </c>
      <c r="AE40" s="1" t="inlineStr">
        <is>
          <t>A</t>
        </is>
      </c>
      <c r="AF40" s="1" t="inlineStr">
        <is>
          <t>N</t>
        </is>
      </c>
      <c r="AG40" s="3" t="n">
        <v>0</v>
      </c>
      <c r="AH40" s="1" t="inlineStr">
        <is>
          <t>N</t>
        </is>
      </c>
      <c r="AI40" s="1" t="inlineStr">
        <is>
          <t>N</t>
        </is>
      </c>
      <c r="AJ40" s="4" t="n">
        <v>27076.47</v>
      </c>
      <c r="AK40" s="5" t="n">
        <v>2087.28</v>
      </c>
      <c r="AL40" s="41" t="n">
        <v>2087.28</v>
      </c>
      <c r="AM40" s="41">
        <f>IF(AND(ISNUMBER($AK$40), ISNUMBER($AJ$40)), IF(($AK$40 - $AJ$40)&lt;=1, 0, ($AK$40 - $AJ$40)), "")</f>
        <v/>
      </c>
      <c r="AN40" s="5" t="n">
        <v>4</v>
      </c>
      <c r="AO40" s="29" t="n">
        <v>3</v>
      </c>
      <c r="AP40" s="29" t="b">
        <v>1</v>
      </c>
      <c r="AQ40" s="4" t="n">
        <v>43478.95</v>
      </c>
      <c r="AR40" s="47" t="n">
        <v>43478.95</v>
      </c>
      <c r="AS40" s="47">
        <f>$AQ$40-$AP$40</f>
        <v/>
      </c>
      <c r="AT40" s="4" t="n">
        <v>43478.95</v>
      </c>
      <c r="AU40" s="4" t="n">
        <v>0</v>
      </c>
      <c r="AV40" s="47" t="n">
        <v>0</v>
      </c>
      <c r="AW40" s="47">
        <f>$AU$40-$AT$40</f>
        <v/>
      </c>
      <c r="AX40" s="4" t="n">
        <v>1298.36</v>
      </c>
      <c r="AY40" s="47" t="n">
        <v>1298.36</v>
      </c>
      <c r="AZ40" s="47">
        <f>$AX$40-$AW$40</f>
        <v/>
      </c>
      <c r="BA40" s="4" t="n">
        <v>1298.36</v>
      </c>
      <c r="BB40" s="4" t="n">
        <v>0</v>
      </c>
      <c r="BC40" s="4" t="n">
        <v>1298.36</v>
      </c>
      <c r="BD40" s="4" t="n">
        <v>1298.36</v>
      </c>
      <c r="BE40" s="47" t="n">
        <v>1298.36</v>
      </c>
      <c r="BF40" s="47">
        <f>$BD$40-$BC$40</f>
        <v/>
      </c>
      <c r="BG40" s="6" t="n">
        <v>3043.53</v>
      </c>
      <c r="BH40" s="53" t="n">
        <v>3029.31</v>
      </c>
      <c r="BI40" s="53">
        <f>$BG$40-$BF$40</f>
        <v/>
      </c>
      <c r="BJ40" s="4" t="n">
        <v>5640.25</v>
      </c>
      <c r="BK40" s="4" t="n">
        <v>5640.25</v>
      </c>
      <c r="BL40" t="inlineStr">
        <is>
          <t xml:space="preserve"> Match=0 but Roth or Deferral &gt;0. </t>
        </is>
      </c>
    </row>
    <row r="41">
      <c r="A41" t="n">
        <v>36</v>
      </c>
      <c r="B41" s="1" t="n"/>
      <c r="C41" s="1" t="n"/>
      <c r="D41" s="1" t="inlineStr"/>
      <c r="E41" s="2" t="n">
        <v>34447</v>
      </c>
      <c r="F41" s="36" t="n">
        <v>34447</v>
      </c>
      <c r="G41" s="36" t="b">
        <v>1</v>
      </c>
      <c r="H41" s="24" t="n">
        <v>34447</v>
      </c>
      <c r="I41" s="24" t="b">
        <v>1</v>
      </c>
      <c r="J41" s="2" t="n">
        <v>43761</v>
      </c>
      <c r="K41" s="36" t="n">
        <v>43761</v>
      </c>
      <c r="L41" s="36" t="b">
        <v>1</v>
      </c>
      <c r="M41" s="24" t="n">
        <v>43761</v>
      </c>
      <c r="N41" s="24" t="b">
        <v>1</v>
      </c>
      <c r="O41" s="2" t="n">
        <v>43862</v>
      </c>
      <c r="P41" t="inlineStr">
        <is>
          <t>Processed</t>
        </is>
      </c>
      <c r="Q41" s="36" t="n">
        <v>43862</v>
      </c>
      <c r="R41" s="36" t="b">
        <v>1</v>
      </c>
      <c r="S41" s="24" t="n">
        <v>43862</v>
      </c>
      <c r="T41" s="24" t="b">
        <v>1</v>
      </c>
      <c r="W41" s="39" t="b">
        <v>1</v>
      </c>
      <c r="Y41" s="27" t="b">
        <v>1</v>
      </c>
      <c r="AB41" s="39" t="b">
        <v>1</v>
      </c>
      <c r="AD41" s="27" t="b">
        <v>1</v>
      </c>
      <c r="AE41" s="1" t="inlineStr">
        <is>
          <t>A</t>
        </is>
      </c>
      <c r="AF41" s="1" t="inlineStr">
        <is>
          <t>N</t>
        </is>
      </c>
      <c r="AG41" s="3" t="n">
        <v>0</v>
      </c>
      <c r="AH41" s="1" t="inlineStr">
        <is>
          <t>N</t>
        </is>
      </c>
      <c r="AI41" s="1" t="inlineStr">
        <is>
          <t>N</t>
        </is>
      </c>
      <c r="AJ41" s="4" t="n">
        <v>83427.16</v>
      </c>
      <c r="AK41" s="5" t="n">
        <v>2080</v>
      </c>
      <c r="AL41" s="41" t="n">
        <v>2080</v>
      </c>
      <c r="AM41" s="41">
        <f>IF(AND(ISNUMBER($AK$41), ISNUMBER($AJ$41)), IF(($AK$41 - $AJ$41)&lt;=1, 0, ($AK$41 - $AJ$41)), "")</f>
        <v/>
      </c>
      <c r="AN41" s="5" t="n">
        <v>4</v>
      </c>
      <c r="AO41" s="29" t="n">
        <v>3</v>
      </c>
      <c r="AP41" s="29" t="b">
        <v>1</v>
      </c>
      <c r="AQ41" s="4" t="n">
        <v>102891.12</v>
      </c>
      <c r="AR41" s="47" t="n">
        <v>102891.12</v>
      </c>
      <c r="AS41" s="47">
        <f>$AQ$41-$AP$41</f>
        <v/>
      </c>
      <c r="AT41" s="4" t="n">
        <v>102891.12</v>
      </c>
      <c r="AU41" s="4" t="n">
        <v>7198.86</v>
      </c>
      <c r="AV41" s="47" t="n">
        <v>7198.86</v>
      </c>
      <c r="AW41" s="47">
        <f>$AU$41-$AT$41</f>
        <v/>
      </c>
      <c r="AX41" s="4" t="n">
        <v>0</v>
      </c>
      <c r="AY41" s="47" t="n">
        <v>0</v>
      </c>
      <c r="AZ41" s="47">
        <f>$AX$41-$AW$41</f>
        <v/>
      </c>
      <c r="BA41" s="4" t="n">
        <v>7198.86</v>
      </c>
      <c r="BB41" s="4" t="n">
        <v>0</v>
      </c>
      <c r="BC41" s="4" t="n">
        <v>7198.86</v>
      </c>
      <c r="BD41" s="4" t="n">
        <v>3086.84</v>
      </c>
      <c r="BE41" s="47" t="n">
        <v>3086.84</v>
      </c>
      <c r="BF41" s="47">
        <f>$BD$41-$BC$41</f>
        <v/>
      </c>
      <c r="BG41" s="6" t="n">
        <v>7202.38</v>
      </c>
      <c r="BH41" s="53" t="n">
        <v>7198.86</v>
      </c>
      <c r="BI41" s="53">
        <f>$BG$41-$BF$41</f>
        <v/>
      </c>
      <c r="BJ41" s="4" t="n">
        <v>17488.08</v>
      </c>
      <c r="BK41" s="4" t="n">
        <v>17488.08</v>
      </c>
      <c r="BL41" t="inlineStr">
        <is>
          <t xml:space="preserve"> Match=0 but Roth or Deferral &gt;0. </t>
        </is>
      </c>
    </row>
    <row r="42">
      <c r="A42" t="n">
        <v>37</v>
      </c>
      <c r="B42" s="1" t="n"/>
      <c r="C42" s="1" t="n"/>
      <c r="D42" s="1" t="inlineStr"/>
      <c r="E42" s="2" t="n">
        <v>31936</v>
      </c>
      <c r="F42" s="36" t="n">
        <v>31936</v>
      </c>
      <c r="G42" s="36" t="b">
        <v>1</v>
      </c>
      <c r="H42" s="24" t="n">
        <v>31936</v>
      </c>
      <c r="I42" s="24" t="b">
        <v>1</v>
      </c>
      <c r="J42" s="2" t="n">
        <v>43787</v>
      </c>
      <c r="K42" s="36" t="n">
        <v>43787</v>
      </c>
      <c r="L42" s="36" t="b">
        <v>1</v>
      </c>
      <c r="M42" s="24" t="n">
        <v>43787</v>
      </c>
      <c r="N42" s="24" t="b">
        <v>1</v>
      </c>
      <c r="O42" s="2" t="n">
        <v>43891</v>
      </c>
      <c r="P42" t="inlineStr">
        <is>
          <t>Processed</t>
        </is>
      </c>
      <c r="Q42" s="36" t="n">
        <v>43891</v>
      </c>
      <c r="R42" s="36" t="b">
        <v>1</v>
      </c>
      <c r="S42" s="24" t="n">
        <v>43891</v>
      </c>
      <c r="T42" s="24" t="b">
        <v>1</v>
      </c>
      <c r="W42" s="39" t="b">
        <v>1</v>
      </c>
      <c r="Y42" s="27" t="b">
        <v>1</v>
      </c>
      <c r="AB42" s="39" t="b">
        <v>1</v>
      </c>
      <c r="AD42" s="27" t="b">
        <v>1</v>
      </c>
      <c r="AE42" s="1" t="inlineStr">
        <is>
          <t>A</t>
        </is>
      </c>
      <c r="AF42" s="1" t="inlineStr">
        <is>
          <t>N</t>
        </is>
      </c>
      <c r="AG42" s="3" t="n">
        <v>0</v>
      </c>
      <c r="AH42" s="1" t="inlineStr">
        <is>
          <t>N</t>
        </is>
      </c>
      <c r="AI42" s="1" t="inlineStr">
        <is>
          <t>N</t>
        </is>
      </c>
      <c r="AJ42" s="4" t="n">
        <v>52386.73</v>
      </c>
      <c r="AK42" s="5" t="n">
        <v>2080</v>
      </c>
      <c r="AL42" s="41" t="n">
        <v>2080</v>
      </c>
      <c r="AM42" s="41">
        <f>IF(AND(ISNUMBER($AK$42), ISNUMBER($AJ$42)), IF(($AK$42 - $AJ$42)&lt;=1, 0, ($AK$42 - $AJ$42)), "")</f>
        <v/>
      </c>
      <c r="AN42" s="5" t="n">
        <v>4</v>
      </c>
      <c r="AO42" s="29" t="n">
        <v>3</v>
      </c>
      <c r="AP42" s="29" t="b">
        <v>1</v>
      </c>
      <c r="AQ42" s="4" t="n">
        <v>66619.59</v>
      </c>
      <c r="AR42" s="47" t="n">
        <v>66619.59</v>
      </c>
      <c r="AS42" s="47">
        <f>$AQ$42-$AP$42</f>
        <v/>
      </c>
      <c r="AT42" s="4" t="n">
        <v>66619.59</v>
      </c>
      <c r="AU42" s="4" t="n">
        <v>3207.67</v>
      </c>
      <c r="AV42" s="47" t="n">
        <v>3207.67</v>
      </c>
      <c r="AW42" s="47">
        <f>$AU$42-$AT$42</f>
        <v/>
      </c>
      <c r="AX42" s="4" t="n">
        <v>3207.67</v>
      </c>
      <c r="AY42" s="47" t="n">
        <v>3207.67</v>
      </c>
      <c r="AZ42" s="47">
        <f>$AX$42-$AW$42</f>
        <v/>
      </c>
      <c r="BA42" s="4" t="n">
        <v>6415.34</v>
      </c>
      <c r="BB42" s="4" t="n">
        <v>0</v>
      </c>
      <c r="BC42" s="4" t="n">
        <v>6415.34</v>
      </c>
      <c r="BD42" s="4" t="n">
        <v>1998.68</v>
      </c>
      <c r="BE42" s="47" t="n">
        <v>1998.68</v>
      </c>
      <c r="BF42" s="47">
        <f>$BD$42-$BC$42</f>
        <v/>
      </c>
      <c r="BG42" s="6" t="n">
        <v>4663.37</v>
      </c>
      <c r="BH42" s="53" t="n">
        <v>4655.11</v>
      </c>
      <c r="BI42" s="53">
        <f>$BG$42-$BF$42</f>
        <v/>
      </c>
      <c r="BJ42" s="4" t="n">
        <v>13077.39</v>
      </c>
      <c r="BK42" s="4" t="n">
        <v>13077.39</v>
      </c>
      <c r="BL42" t="inlineStr">
        <is>
          <t xml:space="preserve"> Match=0 but Roth or Deferral &gt;0. </t>
        </is>
      </c>
    </row>
    <row r="43">
      <c r="A43" t="n">
        <v>38</v>
      </c>
      <c r="B43" s="1" t="n"/>
      <c r="C43" s="1" t="n"/>
      <c r="D43" s="1" t="inlineStr"/>
      <c r="E43" s="2" t="n">
        <v>23785</v>
      </c>
      <c r="F43" s="36" t="n">
        <v>23785</v>
      </c>
      <c r="G43" s="36" t="b">
        <v>1</v>
      </c>
      <c r="H43" s="24" t="n">
        <v>23785</v>
      </c>
      <c r="I43" s="24" t="b">
        <v>1</v>
      </c>
      <c r="J43" s="2" t="n">
        <v>43801</v>
      </c>
      <c r="K43" s="36" t="n">
        <v>43801</v>
      </c>
      <c r="L43" s="36" t="b">
        <v>1</v>
      </c>
      <c r="M43" s="24" t="n">
        <v>43801</v>
      </c>
      <c r="N43" s="24" t="b">
        <v>1</v>
      </c>
      <c r="O43" s="2" t="n">
        <v>43801</v>
      </c>
      <c r="P43" t="inlineStr">
        <is>
          <t>Processed</t>
        </is>
      </c>
      <c r="Q43" s="36" t="n">
        <v>43801</v>
      </c>
      <c r="R43" s="36" t="b">
        <v>1</v>
      </c>
      <c r="S43" s="24" t="n">
        <v>43801</v>
      </c>
      <c r="T43" s="24" t="b">
        <v>1</v>
      </c>
      <c r="W43" s="39" t="b">
        <v>1</v>
      </c>
      <c r="Y43" s="27" t="b">
        <v>1</v>
      </c>
      <c r="AB43" s="39" t="b">
        <v>1</v>
      </c>
      <c r="AD43" s="27" t="b">
        <v>1</v>
      </c>
      <c r="AE43" s="1" t="inlineStr">
        <is>
          <t>A</t>
        </is>
      </c>
      <c r="AF43" s="1" t="inlineStr">
        <is>
          <t>N</t>
        </is>
      </c>
      <c r="AG43" s="3" t="n">
        <v>0</v>
      </c>
      <c r="AH43" s="1" t="inlineStr">
        <is>
          <t>N</t>
        </is>
      </c>
      <c r="AI43" s="1" t="inlineStr">
        <is>
          <t>N</t>
        </is>
      </c>
      <c r="AJ43" s="4" t="n">
        <v>51939.05</v>
      </c>
      <c r="AK43" s="5" t="n">
        <v>2080</v>
      </c>
      <c r="AL43" s="41" t="n">
        <v>2080</v>
      </c>
      <c r="AM43" s="41">
        <f>IF(AND(ISNUMBER($AK$43), ISNUMBER($AJ$43)), IF(($AK$43 - $AJ$43)&lt;=1, 0, ($AK$43 - $AJ$43)), "")</f>
        <v/>
      </c>
      <c r="AN43" s="5" t="n">
        <v>9</v>
      </c>
      <c r="AO43" s="29" t="n">
        <v>8</v>
      </c>
      <c r="AP43" s="29" t="b">
        <v>1</v>
      </c>
      <c r="AQ43" s="4" t="n">
        <v>66706.28</v>
      </c>
      <c r="AR43" s="47" t="n">
        <v>64115.14</v>
      </c>
      <c r="AS43" s="47">
        <f>$AQ$43-$AP$43</f>
        <v/>
      </c>
      <c r="AT43" s="4" t="n">
        <v>66706.28</v>
      </c>
      <c r="AU43" s="4" t="n">
        <v>3193.07</v>
      </c>
      <c r="AV43" s="47" t="n">
        <v>3193.07</v>
      </c>
      <c r="AW43" s="47">
        <f>$AU$43-$AT$43</f>
        <v/>
      </c>
      <c r="AX43" s="4" t="n">
        <v>0</v>
      </c>
      <c r="AY43" s="47" t="n">
        <v>0</v>
      </c>
      <c r="AZ43" s="47">
        <f>$AX$43-$AW$43</f>
        <v/>
      </c>
      <c r="BA43" s="4" t="n">
        <v>3193.07</v>
      </c>
      <c r="BB43" s="4" t="n">
        <v>0</v>
      </c>
      <c r="BC43" s="4" t="n">
        <v>3193.07</v>
      </c>
      <c r="BD43" s="4" t="n">
        <v>1923.48</v>
      </c>
      <c r="BE43" s="47" t="n">
        <v>1923.48</v>
      </c>
      <c r="BF43" s="47">
        <f>$BD$43-$BC$43</f>
        <v/>
      </c>
      <c r="BG43" s="6" t="n">
        <v>4488.06</v>
      </c>
      <c r="BH43" s="53" t="n">
        <v>4470.24</v>
      </c>
      <c r="BI43" s="53">
        <f>$BG$43-$BF$43</f>
        <v/>
      </c>
      <c r="BJ43" s="4" t="n">
        <v>9604.610000000001</v>
      </c>
      <c r="BK43" s="4" t="n">
        <v>9604.610000000001</v>
      </c>
      <c r="BL43" t="inlineStr">
        <is>
          <t xml:space="preserve"> Match=0 but Roth or Deferral &gt;0. </t>
        </is>
      </c>
    </row>
    <row r="44">
      <c r="A44" t="n">
        <v>39</v>
      </c>
      <c r="B44" s="1" t="n"/>
      <c r="C44" s="1" t="n"/>
      <c r="D44" s="1" t="inlineStr"/>
      <c r="E44" s="2" t="n">
        <v>25582</v>
      </c>
      <c r="F44" s="36" t="n">
        <v>25582</v>
      </c>
      <c r="G44" s="36" t="b">
        <v>1</v>
      </c>
      <c r="H44" s="24" t="n">
        <v>25582</v>
      </c>
      <c r="I44" s="24" t="b">
        <v>1</v>
      </c>
      <c r="J44" s="2" t="n">
        <v>43850</v>
      </c>
      <c r="K44" s="36" t="n">
        <v>43850</v>
      </c>
      <c r="L44" s="36" t="b">
        <v>1</v>
      </c>
      <c r="M44" s="24" t="n">
        <v>43850</v>
      </c>
      <c r="N44" s="24" t="b">
        <v>1</v>
      </c>
      <c r="O44" s="2" t="n">
        <v>43850</v>
      </c>
      <c r="P44" t="inlineStr">
        <is>
          <t>Processed</t>
        </is>
      </c>
      <c r="Q44" s="36" t="n">
        <v>43850</v>
      </c>
      <c r="R44" s="36" t="b">
        <v>1</v>
      </c>
      <c r="S44" s="24" t="n">
        <v>43850</v>
      </c>
      <c r="T44" s="24" t="b">
        <v>1</v>
      </c>
      <c r="W44" s="39" t="b">
        <v>1</v>
      </c>
      <c r="Y44" s="27" t="b">
        <v>1</v>
      </c>
      <c r="AB44" s="39" t="b">
        <v>1</v>
      </c>
      <c r="AD44" s="27" t="b">
        <v>1</v>
      </c>
      <c r="AE44" s="1" t="inlineStr">
        <is>
          <t>A</t>
        </is>
      </c>
      <c r="AF44" s="1" t="inlineStr">
        <is>
          <t>N</t>
        </is>
      </c>
      <c r="AG44" s="3" t="n">
        <v>0</v>
      </c>
      <c r="AH44" s="1" t="inlineStr">
        <is>
          <t>N</t>
        </is>
      </c>
      <c r="AI44" s="1" t="inlineStr">
        <is>
          <t>N</t>
        </is>
      </c>
      <c r="AJ44" s="4" t="n">
        <v>96280.84</v>
      </c>
      <c r="AK44" s="5" t="n">
        <v>2080</v>
      </c>
      <c r="AL44" s="41" t="n">
        <v>2080</v>
      </c>
      <c r="AM44" s="41">
        <f>IF(AND(ISNUMBER($AK$44), ISNUMBER($AJ$44)), IF(($AK$44 - $AJ$44)&lt;=1, 0, ($AK$44 - $AJ$44)), "")</f>
        <v/>
      </c>
      <c r="AN44" s="5" t="n">
        <v>7</v>
      </c>
      <c r="AO44" s="29" t="n">
        <v>6</v>
      </c>
      <c r="AP44" s="29" t="b">
        <v>1</v>
      </c>
      <c r="AQ44" s="4" t="n">
        <v>70074.92</v>
      </c>
      <c r="AR44" s="47" t="n">
        <v>67335.46000000001</v>
      </c>
      <c r="AS44" s="47">
        <f>$AQ$44-$AP$44</f>
        <v/>
      </c>
      <c r="AT44" s="4" t="n">
        <v>70074.92</v>
      </c>
      <c r="AU44" s="4" t="n">
        <v>6172.09</v>
      </c>
      <c r="AV44" s="47" t="n">
        <v>6172.09</v>
      </c>
      <c r="AW44" s="47">
        <f>$AU$44-$AT$44</f>
        <v/>
      </c>
      <c r="AX44" s="4" t="n">
        <v>2539.16</v>
      </c>
      <c r="AY44" s="47" t="n">
        <v>2539.16</v>
      </c>
      <c r="AZ44" s="47">
        <f>$AX$44-$AW$44</f>
        <v/>
      </c>
      <c r="BA44" s="4" t="n">
        <v>8711.25</v>
      </c>
      <c r="BB44" s="4" t="n">
        <v>0</v>
      </c>
      <c r="BC44" s="4" t="n">
        <v>8711.25</v>
      </c>
      <c r="BD44" s="4" t="n">
        <v>2020.1</v>
      </c>
      <c r="BE44" s="47" t="n">
        <v>2020.1</v>
      </c>
      <c r="BF44" s="47">
        <f>$BD$44-$BC$44</f>
        <v/>
      </c>
      <c r="BG44" s="6" t="n">
        <v>4713.48</v>
      </c>
      <c r="BH44" s="53" t="n">
        <v>4695.89</v>
      </c>
      <c r="BI44" s="53">
        <f>$BG$44-$BF$44</f>
        <v/>
      </c>
      <c r="BJ44" s="4" t="n">
        <v>15444.83</v>
      </c>
      <c r="BK44" s="4" t="n">
        <v>15444.83</v>
      </c>
      <c r="BL44" t="inlineStr">
        <is>
          <t xml:space="preserve"> Match=0 but Roth or Deferral &gt;0. </t>
        </is>
      </c>
    </row>
    <row r="45">
      <c r="A45" t="n">
        <v>40</v>
      </c>
      <c r="B45" s="1" t="n"/>
      <c r="C45" s="1" t="n"/>
      <c r="D45" s="1" t="inlineStr"/>
      <c r="E45" s="2" t="n">
        <v>30065</v>
      </c>
      <c r="F45" s="36" t="n">
        <v>30065</v>
      </c>
      <c r="G45" s="36" t="b">
        <v>1</v>
      </c>
      <c r="H45" s="24" t="n">
        <v>30065</v>
      </c>
      <c r="I45" s="24" t="b">
        <v>1</v>
      </c>
      <c r="J45" s="2" t="n">
        <v>43892</v>
      </c>
      <c r="K45" s="36" t="n">
        <v>43892</v>
      </c>
      <c r="L45" s="36" t="b">
        <v>1</v>
      </c>
      <c r="M45" s="24" t="n">
        <v>43892</v>
      </c>
      <c r="N45" s="24" t="b">
        <v>1</v>
      </c>
      <c r="O45" s="2" t="n">
        <v>44013</v>
      </c>
      <c r="P45" t="inlineStr">
        <is>
          <t>Processed</t>
        </is>
      </c>
      <c r="Q45" s="36" t="n">
        <v>44013</v>
      </c>
      <c r="R45" s="36" t="b">
        <v>1</v>
      </c>
      <c r="S45" s="24" t="n">
        <v>44013</v>
      </c>
      <c r="T45" s="24" t="b">
        <v>1</v>
      </c>
      <c r="W45" s="39" t="b">
        <v>1</v>
      </c>
      <c r="Y45" s="27" t="b">
        <v>1</v>
      </c>
      <c r="AB45" s="39" t="b">
        <v>1</v>
      </c>
      <c r="AD45" s="27" t="b">
        <v>1</v>
      </c>
      <c r="AE45" s="1" t="inlineStr">
        <is>
          <t>A</t>
        </is>
      </c>
      <c r="AF45" s="1" t="inlineStr">
        <is>
          <t>N</t>
        </is>
      </c>
      <c r="AG45" s="3" t="n">
        <v>0</v>
      </c>
      <c r="AH45" s="1" t="inlineStr">
        <is>
          <t>N</t>
        </is>
      </c>
      <c r="AI45" s="1" t="inlineStr">
        <is>
          <t>N</t>
        </is>
      </c>
      <c r="AJ45" s="4" t="n">
        <v>34041.3</v>
      </c>
      <c r="AK45" s="5" t="n">
        <v>2109.08</v>
      </c>
      <c r="AL45" s="41" t="n">
        <v>2109.08</v>
      </c>
      <c r="AM45" s="41">
        <f>IF(AND(ISNUMBER($AK$45), ISNUMBER($AJ$45)), IF(($AK$45 - $AJ$45)&lt;=1, 0, ($AK$45 - $AJ$45)), "")</f>
        <v/>
      </c>
      <c r="AN45" s="5" t="n">
        <v>4</v>
      </c>
      <c r="AO45" s="29" t="n">
        <v>3</v>
      </c>
      <c r="AP45" s="29" t="b">
        <v>1</v>
      </c>
      <c r="AQ45" s="4" t="n">
        <v>46675.74</v>
      </c>
      <c r="AR45" s="47" t="n">
        <v>46675.74</v>
      </c>
      <c r="AS45" s="47">
        <f>$AQ$45-$AP$45</f>
        <v/>
      </c>
      <c r="AT45" s="4" t="n">
        <v>46675.74</v>
      </c>
      <c r="AU45" s="4" t="n">
        <v>2299.98</v>
      </c>
      <c r="AV45" s="47" t="n">
        <v>2299.98</v>
      </c>
      <c r="AW45" s="47">
        <f>$AU$45-$AT$45</f>
        <v/>
      </c>
      <c r="AX45" s="4" t="n">
        <v>2299.98</v>
      </c>
      <c r="AY45" s="47" t="n">
        <v>2299.98</v>
      </c>
      <c r="AZ45" s="47">
        <f>$AX$45-$AW$45</f>
        <v/>
      </c>
      <c r="BA45" s="4" t="n">
        <v>4599.96</v>
      </c>
      <c r="BB45" s="4" t="n">
        <v>0</v>
      </c>
      <c r="BC45" s="4" t="n">
        <v>4599.96</v>
      </c>
      <c r="BD45" s="4" t="n">
        <v>1393.77</v>
      </c>
      <c r="BE45" s="47" t="n">
        <v>1393.77</v>
      </c>
      <c r="BF45" s="47">
        <f>$BD$45-$BC$45</f>
        <v/>
      </c>
      <c r="BG45" s="6" t="n">
        <v>3015.25</v>
      </c>
      <c r="BH45" s="53" t="n">
        <v>2971.58</v>
      </c>
      <c r="BI45" s="53">
        <f>$BG$45-$BF$45</f>
        <v/>
      </c>
      <c r="BJ45" s="4" t="n">
        <v>9008.98</v>
      </c>
      <c r="BK45" s="4" t="n">
        <v>9008.98</v>
      </c>
      <c r="BL45" t="inlineStr">
        <is>
          <t xml:space="preserve"> Match=0 but Roth or Deferral &gt;0. </t>
        </is>
      </c>
    </row>
    <row r="46">
      <c r="A46" t="n">
        <v>41</v>
      </c>
      <c r="B46" s="1" t="n"/>
      <c r="C46" s="1" t="n"/>
      <c r="D46" s="1" t="inlineStr"/>
      <c r="E46" s="2" t="n">
        <v>30152</v>
      </c>
      <c r="F46" s="36" t="n">
        <v>30152</v>
      </c>
      <c r="G46" s="36" t="b">
        <v>1</v>
      </c>
      <c r="H46" s="24" t="n">
        <v>30152</v>
      </c>
      <c r="I46" s="24" t="b">
        <v>1</v>
      </c>
      <c r="J46" s="2" t="n">
        <v>43913</v>
      </c>
      <c r="K46" s="36" t="n">
        <v>43913</v>
      </c>
      <c r="L46" s="36" t="b">
        <v>1</v>
      </c>
      <c r="M46" s="24" t="n">
        <v>43913</v>
      </c>
      <c r="N46" s="24" t="b">
        <v>1</v>
      </c>
      <c r="O46" s="2" t="n">
        <v>44013</v>
      </c>
      <c r="P46" t="inlineStr">
        <is>
          <t>Processed</t>
        </is>
      </c>
      <c r="Q46" s="36" t="n">
        <v>44013</v>
      </c>
      <c r="R46" s="36" t="b">
        <v>1</v>
      </c>
      <c r="S46" s="24" t="n">
        <v>44013</v>
      </c>
      <c r="T46" s="24" t="b">
        <v>1</v>
      </c>
      <c r="W46" s="39" t="b">
        <v>1</v>
      </c>
      <c r="Y46" s="27" t="b">
        <v>1</v>
      </c>
      <c r="AB46" s="39" t="b">
        <v>1</v>
      </c>
      <c r="AD46" s="27" t="b">
        <v>1</v>
      </c>
      <c r="AE46" s="1" t="inlineStr">
        <is>
          <t>A</t>
        </is>
      </c>
      <c r="AF46" s="1" t="inlineStr">
        <is>
          <t>N</t>
        </is>
      </c>
      <c r="AG46" s="3" t="n">
        <v>0</v>
      </c>
      <c r="AH46" s="1" t="inlineStr">
        <is>
          <t>N</t>
        </is>
      </c>
      <c r="AI46" s="1" t="inlineStr">
        <is>
          <t>N</t>
        </is>
      </c>
      <c r="AJ46" s="4" t="n">
        <v>39324.34</v>
      </c>
      <c r="AK46" s="5" t="n">
        <v>2080</v>
      </c>
      <c r="AL46" s="41" t="n">
        <v>2080</v>
      </c>
      <c r="AM46" s="41">
        <f>IF(AND(ISNUMBER($AK$46), ISNUMBER($AJ$46)), IF(($AK$46 - $AJ$46)&lt;=1, 0, ($AK$46 - $AJ$46)), "")</f>
        <v/>
      </c>
      <c r="AN46" s="5" t="n">
        <v>4</v>
      </c>
      <c r="AO46" s="29" t="n">
        <v>3</v>
      </c>
      <c r="AP46" s="29" t="b">
        <v>1</v>
      </c>
      <c r="AQ46" s="4" t="n">
        <v>76277.52</v>
      </c>
      <c r="AR46" s="47" t="n">
        <v>76277.52</v>
      </c>
      <c r="AS46" s="47">
        <f>$AQ$46-$AP$46</f>
        <v/>
      </c>
      <c r="AT46" s="4" t="n">
        <v>76277.52</v>
      </c>
      <c r="AU46" s="4" t="n">
        <v>2286.5</v>
      </c>
      <c r="AV46" s="47" t="n">
        <v>2286.5</v>
      </c>
      <c r="AW46" s="47">
        <f>$AU$46-$AT$46</f>
        <v/>
      </c>
      <c r="AX46" s="4" t="n">
        <v>0</v>
      </c>
      <c r="AY46" s="47" t="n">
        <v>0</v>
      </c>
      <c r="AZ46" s="47">
        <f>$AX$46-$AW$46</f>
        <v/>
      </c>
      <c r="BA46" s="4" t="n">
        <v>2286.5</v>
      </c>
      <c r="BB46" s="4" t="n">
        <v>0</v>
      </c>
      <c r="BC46" s="4" t="n">
        <v>2286.5</v>
      </c>
      <c r="BD46" s="4" t="n">
        <v>2286.5</v>
      </c>
      <c r="BE46" s="47" t="n">
        <v>2286.5</v>
      </c>
      <c r="BF46" s="47">
        <f>$BD$46-$BC$46</f>
        <v/>
      </c>
      <c r="BG46" s="6" t="n">
        <v>5339.43</v>
      </c>
      <c r="BH46" s="53" t="n">
        <v>5335.27</v>
      </c>
      <c r="BI46" s="53">
        <f>$BG$46-$BF$46</f>
        <v/>
      </c>
      <c r="BJ46" s="4" t="n">
        <v>9912.43</v>
      </c>
      <c r="BK46" s="4" t="n">
        <v>9912.43</v>
      </c>
      <c r="BL46" t="inlineStr">
        <is>
          <t xml:space="preserve"> Match=0 but Roth or Deferral &gt;0. </t>
        </is>
      </c>
    </row>
    <row r="47">
      <c r="A47" t="n">
        <v>42</v>
      </c>
      <c r="B47" s="1" t="n"/>
      <c r="C47" s="1" t="n"/>
      <c r="D47" s="1" t="inlineStr"/>
      <c r="E47" s="2" t="n">
        <v>34102</v>
      </c>
      <c r="F47" s="36" t="n">
        <v>34102</v>
      </c>
      <c r="G47" s="36" t="b">
        <v>1</v>
      </c>
      <c r="H47" s="24" t="n">
        <v>34102</v>
      </c>
      <c r="I47" s="24" t="b">
        <v>1</v>
      </c>
      <c r="J47" s="2" t="n">
        <v>44102</v>
      </c>
      <c r="K47" s="36" t="n">
        <v>44102</v>
      </c>
      <c r="L47" s="36" t="b">
        <v>1</v>
      </c>
      <c r="M47" s="24" t="n">
        <v>44102</v>
      </c>
      <c r="N47" s="24" t="b">
        <v>1</v>
      </c>
      <c r="O47" s="2" t="n">
        <v>44197</v>
      </c>
      <c r="P47" t="inlineStr">
        <is>
          <t>Processed</t>
        </is>
      </c>
      <c r="Q47" s="36" t="n">
        <v>44197</v>
      </c>
      <c r="R47" s="36" t="b">
        <v>1</v>
      </c>
      <c r="S47" s="24" t="n">
        <v>44197</v>
      </c>
      <c r="T47" s="24" t="b">
        <v>1</v>
      </c>
      <c r="W47" s="39" t="b">
        <v>1</v>
      </c>
      <c r="Y47" s="27" t="b">
        <v>1</v>
      </c>
      <c r="AB47" s="39" t="b">
        <v>1</v>
      </c>
      <c r="AD47" s="27" t="b">
        <v>1</v>
      </c>
      <c r="AE47" s="1" t="inlineStr">
        <is>
          <t>A</t>
        </is>
      </c>
      <c r="AF47" s="1" t="inlineStr">
        <is>
          <t>N</t>
        </is>
      </c>
      <c r="AG47" s="3" t="n">
        <v>0</v>
      </c>
      <c r="AH47" s="1" t="inlineStr">
        <is>
          <t>N</t>
        </is>
      </c>
      <c r="AI47" s="1" t="inlineStr">
        <is>
          <t>N</t>
        </is>
      </c>
      <c r="AJ47" s="4" t="n">
        <v>72806</v>
      </c>
      <c r="AK47" s="5" t="n">
        <v>2080</v>
      </c>
      <c r="AL47" s="41" t="n">
        <v>2080</v>
      </c>
      <c r="AM47" s="41">
        <f>IF(AND(ISNUMBER($AK$47), ISNUMBER($AJ$47)), IF(($AK$47 - $AJ$47)&lt;=1, 0, ($AK$47 - $AJ$47)), "")</f>
        <v/>
      </c>
      <c r="AN47" s="5" t="n">
        <v>4</v>
      </c>
      <c r="AO47" s="29" t="n">
        <v>3</v>
      </c>
      <c r="AP47" s="29" t="b">
        <v>1</v>
      </c>
      <c r="AQ47" s="4" t="n">
        <v>76032.24000000001</v>
      </c>
      <c r="AR47" s="47" t="n">
        <v>76032.24000000001</v>
      </c>
      <c r="AS47" s="47">
        <f>$AQ$47-$AP$47</f>
        <v/>
      </c>
      <c r="AT47" s="4" t="n">
        <v>76032.24000000001</v>
      </c>
      <c r="AU47" s="4" t="n">
        <v>0</v>
      </c>
      <c r="AV47" s="47" t="n">
        <v>0</v>
      </c>
      <c r="AW47" s="47">
        <f>$AU$47-$AT$47</f>
        <v/>
      </c>
      <c r="AX47" s="4" t="n">
        <v>11397.21</v>
      </c>
      <c r="AY47" s="47" t="n">
        <v>11397.21</v>
      </c>
      <c r="AZ47" s="47">
        <f>$AX$47-$AW$47</f>
        <v/>
      </c>
      <c r="BA47" s="4" t="n">
        <v>11397.21</v>
      </c>
      <c r="BB47" s="4" t="n">
        <v>0</v>
      </c>
      <c r="BC47" s="4" t="n">
        <v>11397.21</v>
      </c>
      <c r="BD47" s="4" t="n">
        <v>2281</v>
      </c>
      <c r="BE47" s="47" t="n">
        <v>2281</v>
      </c>
      <c r="BF47" s="47">
        <f>$BD$47-$BC$47</f>
        <v/>
      </c>
      <c r="BG47" s="6" t="n">
        <v>5322.26</v>
      </c>
      <c r="BH47" s="53" t="n">
        <v>5318.53</v>
      </c>
      <c r="BI47" s="53">
        <f>$BG$47-$BF$47</f>
        <v/>
      </c>
      <c r="BJ47" s="4" t="n">
        <v>19000.47</v>
      </c>
      <c r="BK47" s="4" t="n">
        <v>19000.47</v>
      </c>
      <c r="BL47" t="inlineStr">
        <is>
          <t xml:space="preserve"> Match=0 but Roth or Deferral &gt;0. </t>
        </is>
      </c>
    </row>
    <row r="48">
      <c r="A48" t="n">
        <v>43</v>
      </c>
      <c r="B48" s="1" t="n"/>
      <c r="C48" s="1" t="n"/>
      <c r="D48" s="1" t="inlineStr"/>
      <c r="E48" s="2" t="n">
        <v>29755</v>
      </c>
      <c r="F48" s="36" t="n">
        <v>29755</v>
      </c>
      <c r="G48" s="36" t="b">
        <v>1</v>
      </c>
      <c r="H48" s="24" t="n">
        <v>29755</v>
      </c>
      <c r="I48" s="24" t="b">
        <v>1</v>
      </c>
      <c r="J48" s="2" t="n">
        <v>44200</v>
      </c>
      <c r="K48" s="36" t="n">
        <v>44200</v>
      </c>
      <c r="L48" s="36" t="b">
        <v>1</v>
      </c>
      <c r="M48" s="24" t="n">
        <v>44200</v>
      </c>
      <c r="N48" s="24" t="b">
        <v>1</v>
      </c>
      <c r="O48" s="2" t="n">
        <v>44317</v>
      </c>
      <c r="P48" t="inlineStr">
        <is>
          <t>Processed</t>
        </is>
      </c>
      <c r="Q48" s="36" t="n">
        <v>44317</v>
      </c>
      <c r="R48" s="36" t="b">
        <v>1</v>
      </c>
      <c r="S48" s="24" t="n">
        <v>44317</v>
      </c>
      <c r="T48" s="24" t="b">
        <v>1</v>
      </c>
      <c r="W48" s="39" t="b">
        <v>1</v>
      </c>
      <c r="Y48" s="27" t="b">
        <v>1</v>
      </c>
      <c r="AB48" s="39" t="b">
        <v>1</v>
      </c>
      <c r="AD48" s="27" t="b">
        <v>1</v>
      </c>
      <c r="AE48" s="1" t="inlineStr">
        <is>
          <t>A</t>
        </is>
      </c>
      <c r="AF48" s="1" t="inlineStr">
        <is>
          <t>N</t>
        </is>
      </c>
      <c r="AG48" s="3" t="n">
        <v>0</v>
      </c>
      <c r="AH48" s="1" t="inlineStr">
        <is>
          <t>N</t>
        </is>
      </c>
      <c r="AI48" s="1" t="inlineStr">
        <is>
          <t>N</t>
        </is>
      </c>
      <c r="AJ48" s="4" t="n">
        <v>99712.58</v>
      </c>
      <c r="AK48" s="5" t="n">
        <v>2080</v>
      </c>
      <c r="AL48" s="41" t="n">
        <v>2080</v>
      </c>
      <c r="AM48" s="41">
        <f>IF(AND(ISNUMBER($AK$48), ISNUMBER($AJ$48)), IF(($AK$48 - $AJ$48)&lt;=1, 0, ($AK$48 - $AJ$48)), "")</f>
        <v/>
      </c>
      <c r="AN48" s="5" t="n">
        <v>4</v>
      </c>
      <c r="AO48" s="29" t="n">
        <v>3</v>
      </c>
      <c r="AP48" s="29" t="b">
        <v>1</v>
      </c>
      <c r="AQ48" s="4" t="n">
        <v>80547.8</v>
      </c>
      <c r="AR48" s="47" t="n">
        <v>80547.8</v>
      </c>
      <c r="AS48" s="47">
        <f>$AQ$48-$AP$48</f>
        <v/>
      </c>
      <c r="AT48" s="4" t="n">
        <v>80547.8</v>
      </c>
      <c r="AU48" s="4" t="n">
        <v>20044.6</v>
      </c>
      <c r="AV48" s="47" t="n">
        <v>20044.6</v>
      </c>
      <c r="AW48" s="47">
        <f>$AU$48-$AT$48</f>
        <v/>
      </c>
      <c r="AX48" s="4" t="n">
        <v>0</v>
      </c>
      <c r="AY48" s="47" t="n">
        <v>0</v>
      </c>
      <c r="AZ48" s="47">
        <f>$AX$48-$AW$48</f>
        <v/>
      </c>
      <c r="BA48" s="4" t="n">
        <v>20044.6</v>
      </c>
      <c r="BB48" s="4" t="n">
        <v>0</v>
      </c>
      <c r="BC48" s="4" t="n">
        <v>20044.6</v>
      </c>
      <c r="BD48" s="4" t="n">
        <v>2410.01</v>
      </c>
      <c r="BE48" s="47" t="n">
        <v>2410.01</v>
      </c>
      <c r="BF48" s="47">
        <f>$BD$48-$BC$48</f>
        <v/>
      </c>
      <c r="BG48" s="6" t="n">
        <v>5638.35</v>
      </c>
      <c r="BH48" s="53" t="n">
        <v>5612.45</v>
      </c>
      <c r="BI48" s="53">
        <f>$BG$48-$BF$48</f>
        <v/>
      </c>
      <c r="BJ48" s="4" t="n">
        <v>28092.96</v>
      </c>
      <c r="BK48" s="4" t="n">
        <v>28092.96</v>
      </c>
      <c r="BL48" t="inlineStr">
        <is>
          <t xml:space="preserve"> Match=0 but Roth or Deferral &gt;0. </t>
        </is>
      </c>
    </row>
    <row r="49">
      <c r="A49" t="n">
        <v>44</v>
      </c>
      <c r="B49" s="1" t="n"/>
      <c r="C49" s="1" t="n"/>
      <c r="D49" s="1" t="inlineStr"/>
      <c r="E49" s="2" t="n">
        <v>35095</v>
      </c>
      <c r="F49" s="36" t="n">
        <v>35095</v>
      </c>
      <c r="G49" s="36" t="b">
        <v>1</v>
      </c>
      <c r="H49" s="24" t="n">
        <v>35095</v>
      </c>
      <c r="I49" s="24" t="b">
        <v>1</v>
      </c>
      <c r="J49" s="2" t="n">
        <v>44305</v>
      </c>
      <c r="K49" s="36" t="n">
        <v>44305</v>
      </c>
      <c r="L49" s="36" t="b">
        <v>1</v>
      </c>
      <c r="M49" s="24" t="n">
        <v>44305</v>
      </c>
      <c r="N49" s="24" t="b">
        <v>1</v>
      </c>
      <c r="O49" s="2" t="n">
        <v>44409</v>
      </c>
      <c r="P49" t="inlineStr">
        <is>
          <t>Processed</t>
        </is>
      </c>
      <c r="Q49" s="36" t="n">
        <v>44409</v>
      </c>
      <c r="R49" s="36" t="b">
        <v>1</v>
      </c>
      <c r="S49" s="24" t="n">
        <v>44409</v>
      </c>
      <c r="T49" s="24" t="b">
        <v>1</v>
      </c>
      <c r="W49" s="39" t="b">
        <v>1</v>
      </c>
      <c r="Y49" s="27" t="b">
        <v>1</v>
      </c>
      <c r="AB49" s="39" t="b">
        <v>1</v>
      </c>
      <c r="AD49" s="27" t="b">
        <v>1</v>
      </c>
      <c r="AE49" s="1" t="inlineStr">
        <is>
          <t>A</t>
        </is>
      </c>
      <c r="AF49" s="1" t="inlineStr">
        <is>
          <t>N</t>
        </is>
      </c>
      <c r="AG49" s="3" t="n">
        <v>0</v>
      </c>
      <c r="AH49" s="1" t="inlineStr">
        <is>
          <t>N</t>
        </is>
      </c>
      <c r="AI49" s="1" t="inlineStr">
        <is>
          <t>N</t>
        </is>
      </c>
      <c r="AJ49" s="4" t="n">
        <v>20400.87</v>
      </c>
      <c r="AK49" s="5" t="n">
        <v>2183.45</v>
      </c>
      <c r="AL49" s="41" t="n">
        <v>2183.45</v>
      </c>
      <c r="AM49" s="41">
        <f>IF(AND(ISNUMBER($AK$49), ISNUMBER($AJ$49)), IF(($AK$49 - $AJ$49)&lt;=1, 0, ($AK$49 - $AJ$49)), "")</f>
        <v/>
      </c>
      <c r="AN49" s="5" t="n">
        <v>4</v>
      </c>
      <c r="AO49" s="29" t="n">
        <v>3</v>
      </c>
      <c r="AP49" s="29" t="b">
        <v>1</v>
      </c>
      <c r="AQ49" s="4" t="n">
        <v>45851.78</v>
      </c>
      <c r="AR49" s="47" t="n">
        <v>45851.78</v>
      </c>
      <c r="AS49" s="47">
        <f>$AQ$49-$AP$49</f>
        <v/>
      </c>
      <c r="AT49" s="4" t="n">
        <v>45851.78</v>
      </c>
      <c r="AU49" s="4" t="n">
        <v>2155.68</v>
      </c>
      <c r="AV49" s="47" t="n">
        <v>2155.68</v>
      </c>
      <c r="AW49" s="47">
        <f>$AU$49-$AT$49</f>
        <v/>
      </c>
      <c r="AX49" s="4" t="n">
        <v>0</v>
      </c>
      <c r="AY49" s="47" t="n">
        <v>0</v>
      </c>
      <c r="AZ49" s="47">
        <f>$AX$49-$AW$49</f>
        <v/>
      </c>
      <c r="BA49" s="4" t="n">
        <v>2155.68</v>
      </c>
      <c r="BB49" s="4" t="n">
        <v>0</v>
      </c>
      <c r="BC49" s="4" t="n">
        <v>2155.68</v>
      </c>
      <c r="BD49" s="4" t="n">
        <v>1369.1</v>
      </c>
      <c r="BE49" s="47" t="n">
        <v>1369.1</v>
      </c>
      <c r="BF49" s="47">
        <f>$BD$49-$BC$49</f>
        <v/>
      </c>
      <c r="BG49" s="6" t="n">
        <v>2962.02</v>
      </c>
      <c r="BH49" s="53" t="n">
        <v>2935.12</v>
      </c>
      <c r="BI49" s="53">
        <f>$BG$49-$BF$49</f>
        <v/>
      </c>
      <c r="BJ49" s="4" t="n">
        <v>6486.799999999999</v>
      </c>
      <c r="BK49" s="4" t="n">
        <v>6486.799999999999</v>
      </c>
      <c r="BL49" t="inlineStr">
        <is>
          <t xml:space="preserve"> Match=0 but Roth or Deferral &gt;0. </t>
        </is>
      </c>
    </row>
    <row r="50">
      <c r="A50" t="n">
        <v>45</v>
      </c>
      <c r="B50" s="1" t="n"/>
      <c r="C50" s="1" t="n"/>
      <c r="D50" s="1" t="inlineStr"/>
      <c r="E50" s="2" t="n">
        <v>30980</v>
      </c>
      <c r="F50" s="36" t="n">
        <v>30980</v>
      </c>
      <c r="G50" s="36" t="b">
        <v>1</v>
      </c>
      <c r="H50" s="24" t="n">
        <v>30980</v>
      </c>
      <c r="I50" s="24" t="b">
        <v>1</v>
      </c>
      <c r="J50" s="2" t="n">
        <v>44333</v>
      </c>
      <c r="K50" s="36" t="n">
        <v>44333</v>
      </c>
      <c r="L50" s="36" t="b">
        <v>1</v>
      </c>
      <c r="M50" s="24" t="n">
        <v>44333</v>
      </c>
      <c r="N50" s="24" t="b">
        <v>1</v>
      </c>
      <c r="O50" s="2" t="n">
        <v>44333</v>
      </c>
      <c r="P50" t="inlineStr">
        <is>
          <t>Processed</t>
        </is>
      </c>
      <c r="Q50" s="36" t="n">
        <v>44333</v>
      </c>
      <c r="R50" s="36" t="b">
        <v>1</v>
      </c>
      <c r="S50" s="24" t="n">
        <v>44333</v>
      </c>
      <c r="T50" s="24" t="b">
        <v>1</v>
      </c>
      <c r="W50" s="39" t="b">
        <v>1</v>
      </c>
      <c r="Y50" s="27" t="b">
        <v>1</v>
      </c>
      <c r="AB50" s="39" t="b">
        <v>1</v>
      </c>
      <c r="AD50" s="27" t="b">
        <v>1</v>
      </c>
      <c r="AE50" s="1" t="inlineStr">
        <is>
          <t>A</t>
        </is>
      </c>
      <c r="AF50" s="1" t="inlineStr">
        <is>
          <t>N</t>
        </is>
      </c>
      <c r="AG50" s="3" t="n">
        <v>0</v>
      </c>
      <c r="AH50" s="1" t="inlineStr">
        <is>
          <t>N</t>
        </is>
      </c>
      <c r="AI50" s="1" t="inlineStr">
        <is>
          <t>N</t>
        </is>
      </c>
      <c r="AJ50" s="4" t="n">
        <v>22954.16</v>
      </c>
      <c r="AK50" s="5" t="n">
        <v>2081.5</v>
      </c>
      <c r="AL50" s="41" t="n">
        <v>2081.5</v>
      </c>
      <c r="AM50" s="41">
        <f>IF(AND(ISNUMBER($AK$50), ISNUMBER($AJ$50)), IF(($AK$50 - $AJ$50)&lt;=1, 0, ($AK$50 - $AJ$50)), "")</f>
        <v/>
      </c>
      <c r="AN50" s="5" t="n">
        <v>4</v>
      </c>
      <c r="AO50" s="29" t="n">
        <v>3</v>
      </c>
      <c r="AP50" s="29" t="b">
        <v>1</v>
      </c>
      <c r="AQ50" s="4" t="n">
        <v>42582.33</v>
      </c>
      <c r="AR50" s="47" t="n">
        <v>40971.35</v>
      </c>
      <c r="AS50" s="47">
        <f>$AQ$50-$AP$50</f>
        <v/>
      </c>
      <c r="AT50" s="4" t="n">
        <v>42582.33</v>
      </c>
      <c r="AU50" s="4" t="n">
        <v>2037.74</v>
      </c>
      <c r="AV50" s="47" t="n">
        <v>2037.74</v>
      </c>
      <c r="AW50" s="47">
        <f>$AU$50-$AT$50</f>
        <v/>
      </c>
      <c r="AX50" s="4" t="n">
        <v>1222.62</v>
      </c>
      <c r="AY50" s="47" t="n">
        <v>1222.62</v>
      </c>
      <c r="AZ50" s="47">
        <f>$AX$50-$AW$50</f>
        <v/>
      </c>
      <c r="BA50" s="4" t="n">
        <v>3260.36</v>
      </c>
      <c r="BB50" s="4" t="n">
        <v>0</v>
      </c>
      <c r="BC50" s="4" t="n">
        <v>3260.36</v>
      </c>
      <c r="BD50" s="4" t="n">
        <v>1222.62</v>
      </c>
      <c r="BE50" s="47" t="n">
        <v>1222.62</v>
      </c>
      <c r="BF50" s="47">
        <f>$BD$50-$BC$50</f>
        <v/>
      </c>
      <c r="BG50" s="6" t="n">
        <v>2867.99</v>
      </c>
      <c r="BH50" s="53" t="n">
        <v>2852.86</v>
      </c>
      <c r="BI50" s="53">
        <f>$BG$50-$BF$50</f>
        <v/>
      </c>
      <c r="BJ50" s="4" t="n">
        <v>7350.969999999999</v>
      </c>
      <c r="BK50" s="4" t="n">
        <v>7350.969999999999</v>
      </c>
      <c r="BL50" t="inlineStr">
        <is>
          <t xml:space="preserve"> Match=0 but Roth or Deferral &gt;0. </t>
        </is>
      </c>
    </row>
    <row r="51">
      <c r="A51" t="n">
        <v>46</v>
      </c>
      <c r="B51" s="1" t="n"/>
      <c r="C51" s="1" t="n"/>
      <c r="D51" s="1" t="inlineStr"/>
      <c r="E51" s="2" t="n">
        <v>36549</v>
      </c>
      <c r="F51" s="36" t="n">
        <v>36549</v>
      </c>
      <c r="G51" s="36" t="b">
        <v>1</v>
      </c>
      <c r="H51" s="24" t="n">
        <v>36549</v>
      </c>
      <c r="I51" s="24" t="b">
        <v>1</v>
      </c>
      <c r="J51" s="2" t="n">
        <v>44348</v>
      </c>
      <c r="K51" s="36" t="n">
        <v>44348</v>
      </c>
      <c r="L51" s="36" t="b">
        <v>1</v>
      </c>
      <c r="M51" s="24" t="n">
        <v>44348</v>
      </c>
      <c r="N51" s="24" t="b">
        <v>1</v>
      </c>
      <c r="O51" s="2" t="n">
        <v>44440</v>
      </c>
      <c r="P51" t="inlineStr">
        <is>
          <t>Processed</t>
        </is>
      </c>
      <c r="Q51" s="36" t="n">
        <v>44440</v>
      </c>
      <c r="R51" s="36" t="b">
        <v>1</v>
      </c>
      <c r="S51" s="24" t="n">
        <v>44440</v>
      </c>
      <c r="T51" s="24" t="b">
        <v>1</v>
      </c>
      <c r="W51" s="39" t="b">
        <v>1</v>
      </c>
      <c r="Y51" s="27" t="b">
        <v>1</v>
      </c>
      <c r="AB51" s="39" t="b">
        <v>1</v>
      </c>
      <c r="AD51" s="27" t="b">
        <v>1</v>
      </c>
      <c r="AE51" s="1" t="inlineStr">
        <is>
          <t>A</t>
        </is>
      </c>
      <c r="AF51" s="1" t="inlineStr">
        <is>
          <t>N</t>
        </is>
      </c>
      <c r="AG51" s="3" t="n">
        <v>0</v>
      </c>
      <c r="AH51" s="1" t="inlineStr">
        <is>
          <t>N</t>
        </is>
      </c>
      <c r="AI51" s="1" t="inlineStr">
        <is>
          <t>N</t>
        </is>
      </c>
      <c r="AJ51" s="4" t="n">
        <v>22029.18</v>
      </c>
      <c r="AK51" s="5" t="n">
        <v>1725.67</v>
      </c>
      <c r="AL51" s="41" t="n">
        <v>1725.67</v>
      </c>
      <c r="AM51" s="41">
        <f>IF(AND(ISNUMBER($AK$51), ISNUMBER($AJ$51)), IF(($AK$51 - $AJ$51)&lt;=1, 0, ($AK$51 - $AJ$51)), "")</f>
        <v/>
      </c>
      <c r="AN51" s="5" t="n">
        <v>4</v>
      </c>
      <c r="AO51" s="29" t="n">
        <v>3</v>
      </c>
      <c r="AP51" s="29" t="b">
        <v>1</v>
      </c>
      <c r="AQ51" s="4" t="n">
        <v>41607.21</v>
      </c>
      <c r="AR51" s="47" t="n">
        <v>39591.27</v>
      </c>
      <c r="AS51" s="47">
        <f>$AQ$51-$AP$51</f>
        <v/>
      </c>
      <c r="AT51" s="4" t="n">
        <v>41607.21</v>
      </c>
      <c r="AU51" s="4" t="n">
        <v>2982.55</v>
      </c>
      <c r="AV51" s="47" t="n">
        <v>2982.55</v>
      </c>
      <c r="AW51" s="47">
        <f>$AU$51-$AT$51</f>
        <v/>
      </c>
      <c r="AX51" s="4" t="n">
        <v>954.95</v>
      </c>
      <c r="AY51" s="47" t="n">
        <v>954.95</v>
      </c>
      <c r="AZ51" s="47">
        <f>$AX$51-$AW$51</f>
        <v/>
      </c>
      <c r="BA51" s="4" t="n">
        <v>3937.5</v>
      </c>
      <c r="BB51" s="4" t="n">
        <v>0</v>
      </c>
      <c r="BC51" s="4" t="n">
        <v>3937.5</v>
      </c>
      <c r="BD51" s="4" t="n">
        <v>1181.25</v>
      </c>
      <c r="BE51" s="47" t="n">
        <v>1181.25</v>
      </c>
      <c r="BF51" s="47">
        <f>$BD$51-$BC$51</f>
        <v/>
      </c>
      <c r="BG51" s="6" t="n">
        <v>2771.39</v>
      </c>
      <c r="BH51" s="53" t="n">
        <v>2756.22</v>
      </c>
      <c r="BI51" s="53">
        <f>$BG$51-$BF$51</f>
        <v/>
      </c>
      <c r="BJ51" s="4" t="n">
        <v>7890.139999999999</v>
      </c>
      <c r="BK51" s="4" t="n">
        <v>7890.139999999999</v>
      </c>
      <c r="BL51" t="inlineStr">
        <is>
          <t xml:space="preserve"> Match=0 but Roth or Deferral &gt;0. </t>
        </is>
      </c>
    </row>
    <row r="52">
      <c r="A52" t="n">
        <v>47</v>
      </c>
      <c r="B52" s="1" t="n"/>
      <c r="C52" s="1" t="n"/>
      <c r="D52" s="1" t="inlineStr"/>
      <c r="E52" s="2" t="n">
        <v>31996</v>
      </c>
      <c r="F52" s="36" t="n">
        <v>31996</v>
      </c>
      <c r="G52" s="36" t="b">
        <v>1</v>
      </c>
      <c r="H52" s="24" t="n">
        <v>31996</v>
      </c>
      <c r="I52" s="24" t="b">
        <v>1</v>
      </c>
      <c r="J52" s="2" t="n">
        <v>44383</v>
      </c>
      <c r="K52" s="36" t="n">
        <v>44383</v>
      </c>
      <c r="L52" s="36" t="b">
        <v>1</v>
      </c>
      <c r="M52" s="24" t="n">
        <v>44383</v>
      </c>
      <c r="N52" s="24" t="b">
        <v>1</v>
      </c>
      <c r="O52" s="2" t="n">
        <v>44383</v>
      </c>
      <c r="P52" t="inlineStr">
        <is>
          <t>Processed</t>
        </is>
      </c>
      <c r="Q52" s="36" t="n">
        <v>44383</v>
      </c>
      <c r="R52" s="36" t="b">
        <v>1</v>
      </c>
      <c r="S52" s="24" t="n">
        <v>44383</v>
      </c>
      <c r="T52" s="24" t="b">
        <v>1</v>
      </c>
      <c r="W52" s="39" t="b">
        <v>1</v>
      </c>
      <c r="Y52" s="27" t="b">
        <v>1</v>
      </c>
      <c r="AB52" s="39" t="b">
        <v>1</v>
      </c>
      <c r="AD52" s="27" t="b">
        <v>1</v>
      </c>
      <c r="AE52" s="1" t="inlineStr">
        <is>
          <t>A</t>
        </is>
      </c>
      <c r="AF52" s="1" t="inlineStr">
        <is>
          <t>N</t>
        </is>
      </c>
      <c r="AG52" s="3" t="n">
        <v>0</v>
      </c>
      <c r="AH52" s="1" t="inlineStr">
        <is>
          <t>N</t>
        </is>
      </c>
      <c r="AI52" s="1" t="inlineStr">
        <is>
          <t>N</t>
        </is>
      </c>
      <c r="AJ52" s="4" t="n">
        <v>29181.35</v>
      </c>
      <c r="AK52" s="5" t="n">
        <v>2093.01</v>
      </c>
      <c r="AL52" s="41" t="n">
        <v>2093.01</v>
      </c>
      <c r="AM52" s="41">
        <f>IF(AND(ISNUMBER($AK$52), ISNUMBER($AJ$52)), IF(($AK$52 - $AJ$52)&lt;=1, 0, ($AK$52 - $AJ$52)), "")</f>
        <v/>
      </c>
      <c r="AN52" s="5" t="n">
        <v>10</v>
      </c>
      <c r="AO52" s="29" t="n">
        <v>9</v>
      </c>
      <c r="AP52" s="29" t="b">
        <v>1</v>
      </c>
      <c r="AQ52" s="4" t="n">
        <v>57674.17</v>
      </c>
      <c r="AR52" s="47" t="n">
        <v>55316.03</v>
      </c>
      <c r="AS52" s="47">
        <f>$AQ$52-$AP$52</f>
        <v/>
      </c>
      <c r="AT52" s="4" t="n">
        <v>57674.17</v>
      </c>
      <c r="AU52" s="4" t="n">
        <v>1646.93</v>
      </c>
      <c r="AV52" s="47" t="n">
        <v>1646.93</v>
      </c>
      <c r="AW52" s="47">
        <f>$AU$52-$AT$52</f>
        <v/>
      </c>
      <c r="AX52" s="4" t="n">
        <v>0</v>
      </c>
      <c r="AY52" s="47" t="n">
        <v>0</v>
      </c>
      <c r="AZ52" s="47">
        <f>$AX$52-$AW$52</f>
        <v/>
      </c>
      <c r="BA52" s="4" t="n">
        <v>1646.93</v>
      </c>
      <c r="BB52" s="4" t="n">
        <v>0</v>
      </c>
      <c r="BC52" s="4" t="n">
        <v>1646.93</v>
      </c>
      <c r="BD52" s="4" t="n">
        <v>1646.93</v>
      </c>
      <c r="BE52" s="47" t="n">
        <v>1646.93</v>
      </c>
      <c r="BF52" s="47">
        <f>$BD$52-$BC$52</f>
        <v/>
      </c>
      <c r="BG52" s="6" t="n">
        <v>3872.12</v>
      </c>
      <c r="BH52" s="53" t="n">
        <v>3843</v>
      </c>
      <c r="BI52" s="53">
        <f>$BG$52-$BF$52</f>
        <v/>
      </c>
      <c r="BJ52" s="4" t="n">
        <v>7165.98</v>
      </c>
      <c r="BK52" s="4" t="n">
        <v>7165.98</v>
      </c>
      <c r="BL52" t="inlineStr">
        <is>
          <t xml:space="preserve"> Match=0 but Roth or Deferral &gt;0. </t>
        </is>
      </c>
    </row>
    <row r="53">
      <c r="A53" t="n">
        <v>48</v>
      </c>
      <c r="B53" s="1" t="n"/>
      <c r="C53" s="1" t="n"/>
      <c r="D53" s="1" t="inlineStr"/>
      <c r="E53" s="2" t="n">
        <v>36117</v>
      </c>
      <c r="F53" s="36" t="n">
        <v>36117</v>
      </c>
      <c r="G53" s="36" t="b">
        <v>1</v>
      </c>
      <c r="H53" s="24" t="n">
        <v>36117</v>
      </c>
      <c r="I53" s="24" t="b">
        <v>1</v>
      </c>
      <c r="J53" s="2" t="n">
        <v>44459</v>
      </c>
      <c r="K53" s="36" t="n">
        <v>44459</v>
      </c>
      <c r="L53" s="36" t="b">
        <v>1</v>
      </c>
      <c r="M53" s="24" t="n">
        <v>44459</v>
      </c>
      <c r="N53" s="24" t="b">
        <v>1</v>
      </c>
      <c r="O53" s="2" t="n">
        <v>44562</v>
      </c>
      <c r="P53" t="inlineStr">
        <is>
          <t>Processed</t>
        </is>
      </c>
      <c r="Q53" s="36" t="n">
        <v>44470</v>
      </c>
      <c r="R53" s="36" t="b">
        <v>0</v>
      </c>
      <c r="S53" s="24" t="n">
        <v>44562</v>
      </c>
      <c r="T53" s="24" t="b">
        <v>1</v>
      </c>
      <c r="W53" s="39" t="b">
        <v>1</v>
      </c>
      <c r="Y53" s="27" t="b">
        <v>1</v>
      </c>
      <c r="AB53" s="39" t="b">
        <v>1</v>
      </c>
      <c r="AD53" s="27" t="b">
        <v>1</v>
      </c>
      <c r="AE53" s="1" t="inlineStr">
        <is>
          <t>A</t>
        </is>
      </c>
      <c r="AF53" s="1" t="inlineStr">
        <is>
          <t>N</t>
        </is>
      </c>
      <c r="AG53" s="3" t="n">
        <v>0</v>
      </c>
      <c r="AH53" s="1" t="inlineStr">
        <is>
          <t>N</t>
        </is>
      </c>
      <c r="AI53" s="1" t="inlineStr">
        <is>
          <t>N</t>
        </is>
      </c>
      <c r="AJ53" s="4" t="n">
        <v>7083.64</v>
      </c>
      <c r="AK53" s="5" t="n">
        <v>2095.06</v>
      </c>
      <c r="AL53" s="41" t="n">
        <v>2095.06</v>
      </c>
      <c r="AM53" s="41">
        <f>IF(AND(ISNUMBER($AK$53), ISNUMBER($AJ$53)), IF(($AK$53 - $AJ$53)&lt;=1, 0, ($AK$53 - $AJ$53)), "")</f>
        <v/>
      </c>
      <c r="AN53" s="5" t="n">
        <v>3</v>
      </c>
      <c r="AO53" s="29" t="n">
        <v>2</v>
      </c>
      <c r="AP53" s="29" t="b">
        <v>1</v>
      </c>
      <c r="AQ53" s="4" t="n">
        <v>39467.31</v>
      </c>
      <c r="AR53" s="47" t="n">
        <v>39467.31</v>
      </c>
      <c r="AS53" s="47">
        <f>$AQ$53-$AP$53</f>
        <v/>
      </c>
      <c r="AT53" s="4" t="n">
        <v>39467.31</v>
      </c>
      <c r="AU53" s="4" t="n">
        <v>0</v>
      </c>
      <c r="AV53" s="47" t="n">
        <v>0</v>
      </c>
      <c r="AW53" s="47">
        <f>$AU$53-$AT$53</f>
        <v/>
      </c>
      <c r="AX53" s="4" t="n">
        <v>0</v>
      </c>
      <c r="AY53" s="47" t="n">
        <v>0</v>
      </c>
      <c r="AZ53" s="47">
        <f>$AX$53-$AW$53</f>
        <v/>
      </c>
      <c r="BA53" s="4" t="n">
        <v>0</v>
      </c>
      <c r="BB53" s="4" t="n">
        <v>0</v>
      </c>
      <c r="BC53" s="4" t="n">
        <v>0</v>
      </c>
      <c r="BD53" s="4" t="n">
        <v>0</v>
      </c>
      <c r="BE53" s="47" t="n">
        <v>0</v>
      </c>
      <c r="BF53" s="47">
        <f>$BD$53-$BC$53</f>
        <v/>
      </c>
      <c r="BG53" s="6" t="n">
        <v>2762.71</v>
      </c>
      <c r="BH53" s="53" t="n">
        <v>2730.1</v>
      </c>
      <c r="BI53" s="53">
        <f>$BG$53-$BF$53</f>
        <v/>
      </c>
      <c r="BJ53" s="4" t="n">
        <v>2762.71</v>
      </c>
      <c r="BK53" s="4" t="n">
        <v>2762.71</v>
      </c>
    </row>
    <row r="54">
      <c r="A54" t="n">
        <v>49</v>
      </c>
      <c r="B54" s="1" t="n"/>
      <c r="C54" s="1" t="n"/>
      <c r="D54" s="1" t="inlineStr"/>
      <c r="E54" s="2" t="n">
        <v>37102</v>
      </c>
      <c r="F54" s="36" t="n">
        <v>37102</v>
      </c>
      <c r="G54" s="36" t="b">
        <v>1</v>
      </c>
      <c r="H54" s="24" t="n">
        <v>37102</v>
      </c>
      <c r="I54" s="24" t="b">
        <v>1</v>
      </c>
      <c r="J54" s="2" t="n">
        <v>44459</v>
      </c>
      <c r="K54" s="36" t="n">
        <v>44459</v>
      </c>
      <c r="L54" s="36" t="b">
        <v>1</v>
      </c>
      <c r="M54" s="24" t="n">
        <v>44459</v>
      </c>
      <c r="N54" s="24" t="b">
        <v>1</v>
      </c>
      <c r="O54" s="2" t="n">
        <v>44562</v>
      </c>
      <c r="P54" t="inlineStr">
        <is>
          <t>Processed</t>
        </is>
      </c>
      <c r="Q54" s="36" t="n">
        <v>44562</v>
      </c>
      <c r="R54" s="36" t="b">
        <v>1</v>
      </c>
      <c r="S54" s="24" t="n">
        <v>44562</v>
      </c>
      <c r="T54" s="24" t="b">
        <v>1</v>
      </c>
      <c r="W54" s="39" t="b">
        <v>1</v>
      </c>
      <c r="Y54" s="27" t="b">
        <v>1</v>
      </c>
      <c r="AB54" s="39" t="b">
        <v>1</v>
      </c>
      <c r="AD54" s="27" t="b">
        <v>1</v>
      </c>
      <c r="AE54" s="1" t="inlineStr">
        <is>
          <t>A</t>
        </is>
      </c>
      <c r="AF54" s="1" t="inlineStr">
        <is>
          <t>N</t>
        </is>
      </c>
      <c r="AG54" s="3" t="n">
        <v>0</v>
      </c>
      <c r="AH54" s="1" t="inlineStr">
        <is>
          <t>N</t>
        </is>
      </c>
      <c r="AI54" s="1" t="inlineStr">
        <is>
          <t>N</t>
        </is>
      </c>
      <c r="AJ54" s="4" t="n">
        <v>16018.07</v>
      </c>
      <c r="AK54" s="5" t="n">
        <v>2213.56</v>
      </c>
      <c r="AL54" s="41" t="n">
        <v>2213.565</v>
      </c>
      <c r="AM54" s="41">
        <f>IF(AND(ISNUMBER($AK$54), ISNUMBER($AJ$54)), IF(($AK$54 - $AJ$54)&lt;=1, 0, ($AK$54 - $AJ$54)), "")</f>
        <v/>
      </c>
      <c r="AN54" s="5" t="n">
        <v>3</v>
      </c>
      <c r="AO54" s="29" t="n">
        <v>2</v>
      </c>
      <c r="AP54" s="29" t="b">
        <v>1</v>
      </c>
      <c r="AQ54" s="4" t="n">
        <v>45014.38</v>
      </c>
      <c r="AR54" s="47" t="n">
        <v>45014.38</v>
      </c>
      <c r="AS54" s="47">
        <f>$AQ$54-$AP$54</f>
        <v/>
      </c>
      <c r="AT54" s="4" t="n">
        <v>45014.38</v>
      </c>
      <c r="AU54" s="4" t="n">
        <v>0</v>
      </c>
      <c r="AV54" s="47" t="n">
        <v>0</v>
      </c>
      <c r="AW54" s="47">
        <f>$AU$54-$AT$54</f>
        <v/>
      </c>
      <c r="AX54" s="4" t="n">
        <v>2229.3</v>
      </c>
      <c r="AY54" s="47" t="n">
        <v>2229.3</v>
      </c>
      <c r="AZ54" s="47">
        <f>$AX$54-$AW$54</f>
        <v/>
      </c>
      <c r="BA54" s="4" t="n">
        <v>2229.3</v>
      </c>
      <c r="BB54" s="4" t="n">
        <v>0</v>
      </c>
      <c r="BC54" s="4" t="n">
        <v>2229.3</v>
      </c>
      <c r="BD54" s="4" t="n">
        <v>1343.96</v>
      </c>
      <c r="BE54" s="47" t="n">
        <v>1343.96</v>
      </c>
      <c r="BF54" s="47">
        <f>$BD$54-$BC$54</f>
        <v/>
      </c>
      <c r="BG54" s="6" t="n">
        <v>2907.93</v>
      </c>
      <c r="BH54" s="53" t="n">
        <v>2880.19</v>
      </c>
      <c r="BI54" s="53">
        <f>$BG$54-$BF$54</f>
        <v/>
      </c>
      <c r="BJ54" s="4" t="n">
        <v>6481.190000000001</v>
      </c>
      <c r="BK54" s="4" t="n">
        <v>6481.190000000001</v>
      </c>
      <c r="BL54" t="inlineStr">
        <is>
          <t xml:space="preserve"> Match=0 but Roth or Deferral &gt;0. </t>
        </is>
      </c>
    </row>
    <row r="55">
      <c r="A55" t="n">
        <v>50</v>
      </c>
      <c r="B55" s="1" t="n"/>
      <c r="C55" s="1" t="n"/>
      <c r="D55" s="1" t="inlineStr"/>
      <c r="E55" s="2" t="n">
        <v>35575</v>
      </c>
      <c r="F55" s="36" t="n">
        <v>35575</v>
      </c>
      <c r="G55" s="36" t="b">
        <v>1</v>
      </c>
      <c r="H55" s="24" t="n">
        <v>35575</v>
      </c>
      <c r="I55" s="24" t="b">
        <v>1</v>
      </c>
      <c r="J55" s="2" t="n">
        <v>44459</v>
      </c>
      <c r="K55" s="36" t="n">
        <v>44459</v>
      </c>
      <c r="L55" s="36" t="b">
        <v>1</v>
      </c>
      <c r="M55" s="24" t="n">
        <v>44459</v>
      </c>
      <c r="N55" s="24" t="b">
        <v>1</v>
      </c>
      <c r="O55" s="2" t="n">
        <v>44562</v>
      </c>
      <c r="P55" t="inlineStr">
        <is>
          <t>Processed</t>
        </is>
      </c>
      <c r="Q55" s="36" t="n">
        <v>44562</v>
      </c>
      <c r="R55" s="36" t="b">
        <v>1</v>
      </c>
      <c r="S55" s="24" t="n">
        <v>44562</v>
      </c>
      <c r="T55" s="24" t="b">
        <v>1</v>
      </c>
      <c r="W55" s="39" t="b">
        <v>1</v>
      </c>
      <c r="Y55" s="27" t="b">
        <v>1</v>
      </c>
      <c r="AB55" s="39" t="b">
        <v>1</v>
      </c>
      <c r="AD55" s="27" t="b">
        <v>1</v>
      </c>
      <c r="AE55" s="1" t="inlineStr">
        <is>
          <t>A</t>
        </is>
      </c>
      <c r="AF55" s="1" t="inlineStr">
        <is>
          <t>N</t>
        </is>
      </c>
      <c r="AG55" s="3" t="n">
        <v>0</v>
      </c>
      <c r="AH55" s="1" t="inlineStr">
        <is>
          <t>N</t>
        </is>
      </c>
      <c r="AI55" s="1" t="inlineStr">
        <is>
          <t>N</t>
        </is>
      </c>
      <c r="AJ55" s="4" t="n">
        <v>22044.32</v>
      </c>
      <c r="AK55" s="5" t="n">
        <v>2089.99</v>
      </c>
      <c r="AL55" s="41" t="n">
        <v>2089.99</v>
      </c>
      <c r="AM55" s="41">
        <f>IF(AND(ISNUMBER($AK$55), ISNUMBER($AJ$55)), IF(($AK$55 - $AJ$55)&lt;=1, 0, ($AK$55 - $AJ$55)), "")</f>
        <v/>
      </c>
      <c r="AN55" s="5" t="n">
        <v>3</v>
      </c>
      <c r="AO55" s="29" t="n">
        <v>2</v>
      </c>
      <c r="AP55" s="29" t="b">
        <v>1</v>
      </c>
      <c r="AQ55" s="4" t="n">
        <v>53906.98</v>
      </c>
      <c r="AR55" s="47" t="n">
        <v>53906.98</v>
      </c>
      <c r="AS55" s="47">
        <f>$AQ$55-$AP$55</f>
        <v/>
      </c>
      <c r="AT55" s="4" t="n">
        <v>53906.98</v>
      </c>
      <c r="AU55" s="4" t="n">
        <v>0</v>
      </c>
      <c r="AV55" s="47" t="n">
        <v>0</v>
      </c>
      <c r="AW55" s="47">
        <f>$AU$55-$AT$55</f>
        <v/>
      </c>
      <c r="AX55" s="4" t="n">
        <v>1612.32</v>
      </c>
      <c r="AY55" s="47" t="n">
        <v>1612.32</v>
      </c>
      <c r="AZ55" s="47">
        <f>$AX$55-$AW$55</f>
        <v/>
      </c>
      <c r="BA55" s="4" t="n">
        <v>1612.32</v>
      </c>
      <c r="BB55" s="4" t="n">
        <v>0</v>
      </c>
      <c r="BC55" s="4" t="n">
        <v>1612.32</v>
      </c>
      <c r="BD55" s="4" t="n">
        <v>1612.32</v>
      </c>
      <c r="BE55" s="47" t="n">
        <v>1612.32</v>
      </c>
      <c r="BF55" s="47">
        <f>$BD$55-$BC$55</f>
        <v/>
      </c>
      <c r="BG55" s="6" t="n">
        <v>3773.49</v>
      </c>
      <c r="BH55" s="53" t="n">
        <v>3762.21</v>
      </c>
      <c r="BI55" s="53">
        <f>$BG$55-$BF$55</f>
        <v/>
      </c>
      <c r="BJ55" s="4" t="n">
        <v>6998.129999999999</v>
      </c>
      <c r="BK55" s="4" t="n">
        <v>6998.129999999999</v>
      </c>
      <c r="BL55" t="inlineStr">
        <is>
          <t xml:space="preserve"> Match=0 but Roth or Deferral &gt;0. </t>
        </is>
      </c>
    </row>
    <row r="56">
      <c r="A56" t="n">
        <v>51</v>
      </c>
      <c r="B56" s="1" t="n"/>
      <c r="C56" s="1" t="n"/>
      <c r="D56" s="1" t="inlineStr"/>
      <c r="E56" s="2" t="n">
        <v>35807</v>
      </c>
      <c r="F56" s="36" t="n">
        <v>35807</v>
      </c>
      <c r="G56" s="36" t="b">
        <v>1</v>
      </c>
      <c r="H56" s="24" t="n">
        <v>35807</v>
      </c>
      <c r="I56" s="24" t="b">
        <v>1</v>
      </c>
      <c r="J56" s="2" t="n">
        <v>44473</v>
      </c>
      <c r="K56" s="36" t="n">
        <v>44473</v>
      </c>
      <c r="L56" s="36" t="b">
        <v>1</v>
      </c>
      <c r="M56" s="24" t="n">
        <v>44473</v>
      </c>
      <c r="N56" s="24" t="b">
        <v>1</v>
      </c>
      <c r="O56" s="2" t="n">
        <v>44593</v>
      </c>
      <c r="P56" t="inlineStr">
        <is>
          <t>Processed</t>
        </is>
      </c>
      <c r="Q56" s="36" t="n">
        <v>44593</v>
      </c>
      <c r="R56" s="36" t="b">
        <v>1</v>
      </c>
      <c r="S56" s="24" t="n">
        <v>44593</v>
      </c>
      <c r="T56" s="24" t="b">
        <v>1</v>
      </c>
      <c r="W56" s="39" t="b">
        <v>1</v>
      </c>
      <c r="Y56" s="27" t="b">
        <v>1</v>
      </c>
      <c r="AB56" s="39" t="b">
        <v>1</v>
      </c>
      <c r="AD56" s="27" t="b">
        <v>1</v>
      </c>
      <c r="AE56" s="1" t="inlineStr">
        <is>
          <t>A</t>
        </is>
      </c>
      <c r="AF56" s="1" t="inlineStr">
        <is>
          <t>N</t>
        </is>
      </c>
      <c r="AG56" s="3" t="n">
        <v>0</v>
      </c>
      <c r="AH56" s="1" t="inlineStr">
        <is>
          <t>N</t>
        </is>
      </c>
      <c r="AI56" s="1" t="inlineStr">
        <is>
          <t>N</t>
        </is>
      </c>
      <c r="AJ56" s="4" t="n">
        <v>18075.69</v>
      </c>
      <c r="AK56" s="5" t="n">
        <v>2145.9</v>
      </c>
      <c r="AL56" s="41" t="n">
        <v>2145.9</v>
      </c>
      <c r="AM56" s="41">
        <f>IF(AND(ISNUMBER($AK$56), ISNUMBER($AJ$56)), IF(($AK$56 - $AJ$56)&lt;=1, 0, ($AK$56 - $AJ$56)), "")</f>
        <v/>
      </c>
      <c r="AN56" s="5" t="n">
        <v>3</v>
      </c>
      <c r="AO56" s="29" t="n">
        <v>2</v>
      </c>
      <c r="AP56" s="29" t="b">
        <v>1</v>
      </c>
      <c r="AQ56" s="4" t="n">
        <v>42754.42</v>
      </c>
      <c r="AR56" s="47" t="inlineStr">
        <is>
          <t>1626.12+41128.3</t>
        </is>
      </c>
      <c r="AS56" s="47">
        <f>$AQ$56-$AP$56</f>
        <v/>
      </c>
      <c r="AT56" s="4" t="n">
        <v>42754.42</v>
      </c>
      <c r="AU56" s="4" t="n">
        <v>48.43</v>
      </c>
      <c r="AV56" s="47" t="n">
        <v>48.43</v>
      </c>
      <c r="AW56" s="47">
        <f>$AU$56-$AT$56</f>
        <v/>
      </c>
      <c r="AX56" s="4" t="n">
        <v>1269.99</v>
      </c>
      <c r="AY56" s="47" t="n">
        <v>1269.99</v>
      </c>
      <c r="AZ56" s="47">
        <f>$AX$56-$AW$56</f>
        <v/>
      </c>
      <c r="BA56" s="4" t="n">
        <v>1318.42</v>
      </c>
      <c r="BB56" s="4" t="n">
        <v>0</v>
      </c>
      <c r="BC56" s="4" t="n">
        <v>1318.42</v>
      </c>
      <c r="BD56" s="4" t="n">
        <v>1269.99</v>
      </c>
      <c r="BE56" s="47" t="n">
        <v>1269.99</v>
      </c>
      <c r="BF56" s="47">
        <f>$BD$56-$BC$56</f>
        <v/>
      </c>
      <c r="BG56" s="6" t="n">
        <v>2761.94</v>
      </c>
      <c r="BH56" s="53" t="n">
        <v>2734.66</v>
      </c>
      <c r="BI56" s="53">
        <f>$BG$56-$BF$56</f>
        <v/>
      </c>
      <c r="BJ56" s="4" t="n">
        <v>5350.35</v>
      </c>
      <c r="BK56" s="4" t="n">
        <v>5350.35</v>
      </c>
      <c r="BL56" t="inlineStr">
        <is>
          <t xml:space="preserve"> Match=0 but Roth or Deferral &gt;0. </t>
        </is>
      </c>
    </row>
    <row r="57">
      <c r="A57" t="n">
        <v>52</v>
      </c>
      <c r="B57" s="1" t="n"/>
      <c r="C57" s="1" t="n"/>
      <c r="D57" s="1" t="inlineStr"/>
      <c r="E57" s="2" t="n">
        <v>35624</v>
      </c>
      <c r="F57" s="36" t="n">
        <v>35624</v>
      </c>
      <c r="G57" s="36" t="b">
        <v>1</v>
      </c>
      <c r="H57" s="24" t="n">
        <v>35624</v>
      </c>
      <c r="I57" s="24" t="b">
        <v>1</v>
      </c>
      <c r="J57" s="2" t="n">
        <v>44487</v>
      </c>
      <c r="K57" s="36" t="n">
        <v>44487</v>
      </c>
      <c r="L57" s="36" t="b">
        <v>1</v>
      </c>
      <c r="M57" s="24" t="n">
        <v>44487</v>
      </c>
      <c r="N57" s="24" t="b">
        <v>1</v>
      </c>
      <c r="O57" s="2" t="n">
        <v>44593</v>
      </c>
      <c r="P57" t="inlineStr">
        <is>
          <t>Processed</t>
        </is>
      </c>
      <c r="Q57" s="36" t="n">
        <v>44593</v>
      </c>
      <c r="R57" s="36" t="b">
        <v>1</v>
      </c>
      <c r="S57" s="24" t="n">
        <v>44593</v>
      </c>
      <c r="T57" s="24" t="b">
        <v>1</v>
      </c>
      <c r="W57" s="39" t="b">
        <v>1</v>
      </c>
      <c r="Y57" s="27" t="b">
        <v>1</v>
      </c>
      <c r="AB57" s="39" t="b">
        <v>1</v>
      </c>
      <c r="AD57" s="27" t="b">
        <v>1</v>
      </c>
      <c r="AE57" s="1" t="inlineStr">
        <is>
          <t>A</t>
        </is>
      </c>
      <c r="AF57" s="1" t="inlineStr">
        <is>
          <t>N</t>
        </is>
      </c>
      <c r="AG57" s="3" t="n">
        <v>0</v>
      </c>
      <c r="AH57" s="1" t="inlineStr">
        <is>
          <t>N</t>
        </is>
      </c>
      <c r="AI57" s="1" t="inlineStr">
        <is>
          <t>N</t>
        </is>
      </c>
      <c r="AJ57" s="4" t="n">
        <v>18992.79</v>
      </c>
      <c r="AK57" s="5" t="n">
        <v>2133.64</v>
      </c>
      <c r="AL57" s="41" t="n">
        <v>2133.64</v>
      </c>
      <c r="AM57" s="41">
        <f>IF(AND(ISNUMBER($AK$57), ISNUMBER($AJ$57)), IF(($AK$57 - $AJ$57)&lt;=1, 0, ($AK$57 - $AJ$57)), "")</f>
        <v/>
      </c>
      <c r="AN57" s="5" t="n">
        <v>3</v>
      </c>
      <c r="AO57" s="29" t="n">
        <v>2</v>
      </c>
      <c r="AP57" s="29" t="b">
        <v>1</v>
      </c>
      <c r="AQ57" s="4" t="n">
        <v>42907.22</v>
      </c>
      <c r="AR57" s="47" t="n">
        <v>42907.22</v>
      </c>
      <c r="AS57" s="47">
        <f>$AQ$57-$AP$57</f>
        <v/>
      </c>
      <c r="AT57" s="4" t="n">
        <v>42907.22</v>
      </c>
      <c r="AU57" s="4" t="n">
        <v>2120.63</v>
      </c>
      <c r="AV57" s="47" t="n">
        <v>2120.63</v>
      </c>
      <c r="AW57" s="47">
        <f>$AU$57-$AT$57</f>
        <v/>
      </c>
      <c r="AX57" s="4" t="n">
        <v>0</v>
      </c>
      <c r="AY57" s="47" t="n">
        <v>0</v>
      </c>
      <c r="AZ57" s="47">
        <f>$AX$57-$AW$57</f>
        <v/>
      </c>
      <c r="BA57" s="4" t="n">
        <v>2120.63</v>
      </c>
      <c r="BB57" s="4" t="n">
        <v>0</v>
      </c>
      <c r="BC57" s="4" t="n">
        <v>2120.63</v>
      </c>
      <c r="BD57" s="4" t="n">
        <v>1280.72</v>
      </c>
      <c r="BE57" s="47" t="n">
        <v>1280.72</v>
      </c>
      <c r="BF57" s="47">
        <f>$BD$57-$BC$57</f>
        <v/>
      </c>
      <c r="BG57" s="6" t="n">
        <v>3003.51</v>
      </c>
      <c r="BH57" s="53" t="n">
        <v>2968.88</v>
      </c>
      <c r="BI57" s="53">
        <f>$BG$57-$BF$57</f>
        <v/>
      </c>
      <c r="BJ57" s="4" t="n">
        <v>6404.860000000001</v>
      </c>
      <c r="BK57" s="4" t="n">
        <v>6404.860000000001</v>
      </c>
      <c r="BL57" t="inlineStr">
        <is>
          <t xml:space="preserve"> Match=0 but Roth or Deferral &gt;0. </t>
        </is>
      </c>
    </row>
    <row r="58">
      <c r="A58" t="n">
        <v>53</v>
      </c>
      <c r="B58" s="1" t="n"/>
      <c r="C58" s="1" t="n"/>
      <c r="D58" s="1" t="inlineStr"/>
      <c r="E58" s="2" t="n">
        <v>33355</v>
      </c>
      <c r="F58" s="36" t="n">
        <v>33355</v>
      </c>
      <c r="G58" s="36" t="b">
        <v>1</v>
      </c>
      <c r="H58" s="24" t="n">
        <v>33355</v>
      </c>
      <c r="I58" s="24" t="b">
        <v>1</v>
      </c>
      <c r="J58" s="2" t="n">
        <v>44599</v>
      </c>
      <c r="K58" s="36" t="n">
        <v>44599</v>
      </c>
      <c r="L58" s="36" t="b">
        <v>1</v>
      </c>
      <c r="M58" s="24" t="n">
        <v>44599</v>
      </c>
      <c r="N58" s="24" t="b">
        <v>1</v>
      </c>
      <c r="O58" s="2" t="n">
        <v>44713</v>
      </c>
      <c r="P58" t="inlineStr">
        <is>
          <t>Processed</t>
        </is>
      </c>
      <c r="Q58" s="36" t="n">
        <v>44713</v>
      </c>
      <c r="R58" s="36" t="b">
        <v>1</v>
      </c>
      <c r="S58" s="24" t="n">
        <v>44713</v>
      </c>
      <c r="T58" s="24" t="b">
        <v>1</v>
      </c>
      <c r="W58" s="39" t="b">
        <v>1</v>
      </c>
      <c r="Y58" s="27" t="b">
        <v>1</v>
      </c>
      <c r="AB58" s="39" t="b">
        <v>1</v>
      </c>
      <c r="AD58" s="27" t="b">
        <v>1</v>
      </c>
      <c r="AE58" s="1" t="inlineStr">
        <is>
          <t>A</t>
        </is>
      </c>
      <c r="AF58" s="1" t="inlineStr">
        <is>
          <t>N</t>
        </is>
      </c>
      <c r="AG58" s="3" t="n">
        <v>0</v>
      </c>
      <c r="AH58" s="1" t="inlineStr">
        <is>
          <t>N</t>
        </is>
      </c>
      <c r="AI58" s="1" t="inlineStr">
        <is>
          <t>N</t>
        </is>
      </c>
      <c r="AJ58" s="4" t="n">
        <v>14317.63</v>
      </c>
      <c r="AK58" s="5" t="n">
        <v>1643.64</v>
      </c>
      <c r="AL58" s="41" t="n">
        <v>1643.64</v>
      </c>
      <c r="AM58" s="41">
        <f>IF(AND(ISNUMBER($AK$58), ISNUMBER($AJ$58)), IF(($AK$58 - $AJ$58)&lt;=1, 0, ($AK$58 - $AJ$58)), "")</f>
        <v/>
      </c>
      <c r="AN58" s="5" t="n">
        <v>3</v>
      </c>
      <c r="AO58" s="29" t="n">
        <v>2</v>
      </c>
      <c r="AP58" s="29" t="b">
        <v>1</v>
      </c>
      <c r="AQ58" s="4" t="n">
        <v>33824.76</v>
      </c>
      <c r="AR58" s="47" t="n">
        <v>32183.22</v>
      </c>
      <c r="AS58" s="47">
        <f>$AQ$58-$AP$58</f>
        <v/>
      </c>
      <c r="AT58" s="4" t="n">
        <v>33824.76</v>
      </c>
      <c r="AU58" s="4" t="n">
        <v>954.51</v>
      </c>
      <c r="AV58" s="47" t="n">
        <v>954.51</v>
      </c>
      <c r="AW58" s="47">
        <f>$AU$58-$AT$58</f>
        <v/>
      </c>
      <c r="AX58" s="4" t="n">
        <v>1590.82</v>
      </c>
      <c r="AY58" s="47" t="n">
        <v>1590.82</v>
      </c>
      <c r="AZ58" s="47">
        <f>$AX$58-$AW$58</f>
        <v/>
      </c>
      <c r="BA58" s="4" t="n">
        <v>2545.33</v>
      </c>
      <c r="BB58" s="4" t="n">
        <v>0</v>
      </c>
      <c r="BC58" s="4" t="n">
        <v>2545.33</v>
      </c>
      <c r="BD58" s="4" t="n">
        <v>959.01</v>
      </c>
      <c r="BE58" s="47" t="n">
        <v>959.01</v>
      </c>
      <c r="BF58" s="47">
        <f>$BD$58-$BC$58</f>
        <v/>
      </c>
      <c r="BG58" s="6" t="n">
        <v>2079.04</v>
      </c>
      <c r="BH58" s="53" t="n">
        <v>2055.35</v>
      </c>
      <c r="BI58" s="53">
        <f>$BG$58-$BF$58</f>
        <v/>
      </c>
      <c r="BJ58" s="4" t="n">
        <v>5583.38</v>
      </c>
      <c r="BK58" s="4" t="n">
        <v>5583.38</v>
      </c>
      <c r="BL58" t="inlineStr">
        <is>
          <t xml:space="preserve"> Match=0 but Roth or Deferral &gt;0. </t>
        </is>
      </c>
    </row>
    <row r="59">
      <c r="A59" t="n">
        <v>54</v>
      </c>
      <c r="B59" s="1" t="n"/>
      <c r="C59" s="1" t="n"/>
      <c r="D59" s="1" t="inlineStr"/>
      <c r="E59" s="2" t="n">
        <v>34534</v>
      </c>
      <c r="F59" s="36" t="n">
        <v>34534</v>
      </c>
      <c r="G59" s="36" t="b">
        <v>1</v>
      </c>
      <c r="H59" s="24" t="n">
        <v>34534</v>
      </c>
      <c r="I59" s="24" t="b">
        <v>1</v>
      </c>
      <c r="J59" s="2" t="n">
        <v>44641</v>
      </c>
      <c r="K59" s="36" t="n">
        <v>44641</v>
      </c>
      <c r="L59" s="36" t="b">
        <v>1</v>
      </c>
      <c r="M59" s="24" t="n">
        <v>44641</v>
      </c>
      <c r="N59" s="24" t="b">
        <v>1</v>
      </c>
      <c r="O59" s="2" t="n">
        <v>44743</v>
      </c>
      <c r="P59" t="inlineStr">
        <is>
          <t>Processed</t>
        </is>
      </c>
      <c r="Q59" s="36" t="n">
        <v>44743</v>
      </c>
      <c r="R59" s="36" t="b">
        <v>1</v>
      </c>
      <c r="S59" s="24" t="n">
        <v>44743</v>
      </c>
      <c r="T59" s="24" t="b">
        <v>1</v>
      </c>
      <c r="W59" s="39" t="b">
        <v>1</v>
      </c>
      <c r="Y59" s="27" t="b">
        <v>1</v>
      </c>
      <c r="AB59" s="39" t="b">
        <v>1</v>
      </c>
      <c r="AD59" s="27" t="b">
        <v>1</v>
      </c>
      <c r="AE59" s="1" t="inlineStr">
        <is>
          <t>A</t>
        </is>
      </c>
      <c r="AF59" s="1" t="inlineStr">
        <is>
          <t>N</t>
        </is>
      </c>
      <c r="AG59" s="3" t="n">
        <v>0</v>
      </c>
      <c r="AH59" s="1" t="inlineStr">
        <is>
          <t>N</t>
        </is>
      </c>
      <c r="AI59" s="1" t="inlineStr">
        <is>
          <t>N</t>
        </is>
      </c>
      <c r="AJ59" s="4" t="n">
        <v>21580.34</v>
      </c>
      <c r="AK59" s="5" t="n">
        <v>2080.1</v>
      </c>
      <c r="AL59" s="41" t="n">
        <v>2080.1</v>
      </c>
      <c r="AM59" s="41">
        <f>IF(AND(ISNUMBER($AK$59), ISNUMBER($AJ$59)), IF(($AK$59 - $AJ$59)&lt;=1, 0, ($AK$59 - $AJ$59)), "")</f>
        <v/>
      </c>
      <c r="AN59" s="5" t="n">
        <v>2</v>
      </c>
      <c r="AO59" s="29" t="n">
        <v>1</v>
      </c>
      <c r="AP59" s="29" t="b">
        <v>1</v>
      </c>
      <c r="AQ59" s="4" t="n">
        <v>41746.29</v>
      </c>
      <c r="AR59" s="47" t="n">
        <v>41746.29</v>
      </c>
      <c r="AS59" s="47">
        <f>$AQ$59-$AP$59</f>
        <v/>
      </c>
      <c r="AT59" s="4" t="n">
        <v>41746.29</v>
      </c>
      <c r="AU59" s="4" t="n">
        <v>0</v>
      </c>
      <c r="AV59" s="47" t="n">
        <v>0</v>
      </c>
      <c r="AW59" s="47">
        <f>$AU$59-$AT$59</f>
        <v/>
      </c>
      <c r="AX59" s="4" t="n">
        <v>7184.13</v>
      </c>
      <c r="AY59" s="47" t="n">
        <v>7184.13</v>
      </c>
      <c r="AZ59" s="47">
        <f>$AX$59-$AW$59</f>
        <v/>
      </c>
      <c r="BA59" s="4" t="n">
        <v>7184.13</v>
      </c>
      <c r="BB59" s="4" t="n">
        <v>0</v>
      </c>
      <c r="BC59" s="4" t="n">
        <v>7184.13</v>
      </c>
      <c r="BD59" s="4" t="n">
        <v>1245.94</v>
      </c>
      <c r="BE59" s="47" t="n">
        <v>1245.94</v>
      </c>
      <c r="BF59" s="47">
        <f>$BD$59-$BC$59</f>
        <v/>
      </c>
      <c r="BG59" s="6" t="n">
        <v>2922.24</v>
      </c>
      <c r="BH59" s="53" t="n">
        <v>2907.03</v>
      </c>
      <c r="BI59" s="53">
        <f>$BG$59-$BF$59</f>
        <v/>
      </c>
      <c r="BJ59" s="4" t="n">
        <v>11352.31</v>
      </c>
      <c r="BK59" s="4" t="n">
        <v>11352.31</v>
      </c>
      <c r="BL59" t="inlineStr">
        <is>
          <t xml:space="preserve"> Match=0 but Roth or Deferral &gt;0. </t>
        </is>
      </c>
    </row>
    <row r="60">
      <c r="A60" t="n">
        <v>55</v>
      </c>
      <c r="B60" s="1" t="n"/>
      <c r="C60" s="1" t="n"/>
      <c r="D60" s="1" t="inlineStr"/>
      <c r="E60" s="2" t="n">
        <v>29062</v>
      </c>
      <c r="F60" s="36" t="n">
        <v>29062</v>
      </c>
      <c r="G60" s="36" t="b">
        <v>1</v>
      </c>
      <c r="H60" s="24" t="n">
        <v>29062</v>
      </c>
      <c r="I60" s="24" t="b">
        <v>1</v>
      </c>
      <c r="J60" s="2" t="n">
        <v>44669</v>
      </c>
      <c r="K60" s="36" t="n">
        <v>44669</v>
      </c>
      <c r="L60" s="36" t="b">
        <v>1</v>
      </c>
      <c r="M60" s="24" t="n">
        <v>44669</v>
      </c>
      <c r="N60" s="24" t="b">
        <v>1</v>
      </c>
      <c r="O60" s="2" t="n">
        <v>44669</v>
      </c>
      <c r="P60" t="inlineStr">
        <is>
          <t>Processed</t>
        </is>
      </c>
      <c r="Q60" s="36" t="n">
        <v>44682</v>
      </c>
      <c r="R60" s="36" t="b">
        <v>0</v>
      </c>
      <c r="S60" s="24" t="n">
        <v>44669</v>
      </c>
      <c r="T60" s="24" t="b">
        <v>1</v>
      </c>
      <c r="W60" s="39" t="b">
        <v>1</v>
      </c>
      <c r="Y60" s="27" t="b">
        <v>1</v>
      </c>
      <c r="AB60" s="39" t="b">
        <v>1</v>
      </c>
      <c r="AD60" s="27" t="b">
        <v>1</v>
      </c>
      <c r="AE60" s="1" t="inlineStr">
        <is>
          <t>A</t>
        </is>
      </c>
      <c r="AF60" s="1" t="inlineStr">
        <is>
          <t>N</t>
        </is>
      </c>
      <c r="AG60" s="3" t="n">
        <v>0</v>
      </c>
      <c r="AH60" s="1" t="inlineStr">
        <is>
          <t>N</t>
        </is>
      </c>
      <c r="AI60" s="1" t="inlineStr">
        <is>
          <t>N</t>
        </is>
      </c>
      <c r="AJ60" s="4" t="n">
        <v>51094.37</v>
      </c>
      <c r="AK60" s="5" t="n">
        <v>2080</v>
      </c>
      <c r="AL60" s="41" t="n">
        <v>2080</v>
      </c>
      <c r="AM60" s="41">
        <f>IF(AND(ISNUMBER($AK$60), ISNUMBER($AJ$60)), IF(($AK$60 - $AJ$60)&lt;=1, 0, ($AK$60 - $AJ$60)), "")</f>
        <v/>
      </c>
      <c r="AN60" s="5" t="n">
        <v>5</v>
      </c>
      <c r="AO60" s="29" t="n">
        <v>4</v>
      </c>
      <c r="AP60" s="29" t="b">
        <v>1</v>
      </c>
      <c r="AQ60" s="4" t="n">
        <v>99552.08</v>
      </c>
      <c r="AR60" s="47" t="n">
        <v>99552.08</v>
      </c>
      <c r="AS60" s="47">
        <f>$AQ$60-$AP$60</f>
        <v/>
      </c>
      <c r="AT60" s="4" t="n">
        <v>99552.08</v>
      </c>
      <c r="AU60" s="4" t="n">
        <v>4977.5</v>
      </c>
      <c r="AV60" s="47" t="n">
        <v>4977.5</v>
      </c>
      <c r="AW60" s="47">
        <f>$AU$60-$AT$60</f>
        <v/>
      </c>
      <c r="AX60" s="4" t="n">
        <v>0</v>
      </c>
      <c r="AY60" s="47" t="n">
        <v>0</v>
      </c>
      <c r="AZ60" s="47">
        <f>$AX$60-$AW$60</f>
        <v/>
      </c>
      <c r="BA60" s="4" t="n">
        <v>4977.5</v>
      </c>
      <c r="BB60" s="4" t="n">
        <v>0</v>
      </c>
      <c r="BC60" s="4" t="n">
        <v>4977.5</v>
      </c>
      <c r="BD60" s="4" t="n">
        <v>2986.5</v>
      </c>
      <c r="BE60" s="47" t="n">
        <v>2986.5</v>
      </c>
      <c r="BF60" s="47">
        <f>$BD$60-$BC$60</f>
        <v/>
      </c>
      <c r="BG60" s="6" t="n">
        <v>6968.76</v>
      </c>
      <c r="BH60" s="53" t="n">
        <v>6968.76</v>
      </c>
      <c r="BI60" s="53">
        <f>$BG$60-$BF$60</f>
        <v/>
      </c>
      <c r="BJ60" s="4" t="n">
        <v>14932.76</v>
      </c>
      <c r="BK60" s="4" t="n">
        <v>14932.76</v>
      </c>
      <c r="BL60" t="inlineStr">
        <is>
          <t xml:space="preserve"> Match=0 but Roth or Deferral &gt;0. </t>
        </is>
      </c>
    </row>
    <row r="61">
      <c r="A61" t="n">
        <v>56</v>
      </c>
      <c r="B61" s="1" t="n"/>
      <c r="C61" s="1" t="n"/>
      <c r="D61" s="1" t="inlineStr"/>
      <c r="E61" s="2" t="n">
        <v>35720</v>
      </c>
      <c r="F61" s="36" t="n">
        <v>35720</v>
      </c>
      <c r="G61" s="36" t="b">
        <v>1</v>
      </c>
      <c r="H61" s="24" t="n">
        <v>35720</v>
      </c>
      <c r="I61" s="24" t="b">
        <v>1</v>
      </c>
      <c r="J61" s="2" t="n">
        <v>44712</v>
      </c>
      <c r="K61" s="36" t="n">
        <v>44712</v>
      </c>
      <c r="L61" s="36" t="b">
        <v>1</v>
      </c>
      <c r="M61" s="24" t="n">
        <v>44712</v>
      </c>
      <c r="N61" s="24" t="b">
        <v>1</v>
      </c>
      <c r="O61" s="2" t="n">
        <v>44805</v>
      </c>
      <c r="P61" t="inlineStr">
        <is>
          <t>Processed</t>
        </is>
      </c>
      <c r="Q61" s="36" t="n">
        <v>44805</v>
      </c>
      <c r="R61" s="36" t="b">
        <v>1</v>
      </c>
      <c r="S61" s="24" t="n">
        <v>44805</v>
      </c>
      <c r="T61" s="24" t="b">
        <v>1</v>
      </c>
      <c r="W61" s="39" t="b">
        <v>1</v>
      </c>
      <c r="Y61" s="27" t="b">
        <v>1</v>
      </c>
      <c r="AB61" s="39" t="b">
        <v>1</v>
      </c>
      <c r="AD61" s="27" t="b">
        <v>1</v>
      </c>
      <c r="AE61" s="1" t="inlineStr">
        <is>
          <t>A</t>
        </is>
      </c>
      <c r="AF61" s="1" t="inlineStr">
        <is>
          <t>N</t>
        </is>
      </c>
      <c r="AG61" s="3" t="n">
        <v>0</v>
      </c>
      <c r="AH61" s="1" t="inlineStr">
        <is>
          <t>N</t>
        </is>
      </c>
      <c r="AI61" s="1" t="inlineStr">
        <is>
          <t>N</t>
        </is>
      </c>
      <c r="AJ61" s="4" t="n">
        <v>18490.97</v>
      </c>
      <c r="AK61" s="5" t="n">
        <v>2115.83</v>
      </c>
      <c r="AL61" s="41" t="n">
        <v>2115.83</v>
      </c>
      <c r="AM61" s="41">
        <f>IF(AND(ISNUMBER($AK$61), ISNUMBER($AJ$61)), IF(($AK$61 - $AJ$61)&lt;=1, 0, ($AK$61 - $AJ$61)), "")</f>
        <v/>
      </c>
      <c r="AN61" s="5" t="n">
        <v>2</v>
      </c>
      <c r="AO61" s="29" t="n">
        <v>1</v>
      </c>
      <c r="AP61" s="29" t="b">
        <v>1</v>
      </c>
      <c r="AQ61" s="4" t="n">
        <v>61838.66</v>
      </c>
      <c r="AR61" s="47" t="n">
        <v>61838.66</v>
      </c>
      <c r="AS61" s="47">
        <f>$AQ$61-$AP$61</f>
        <v/>
      </c>
      <c r="AT61" s="4" t="n">
        <v>61838.66</v>
      </c>
      <c r="AU61" s="4" t="n">
        <v>0</v>
      </c>
      <c r="AV61" s="47" t="n">
        <v>0</v>
      </c>
      <c r="AW61" s="47">
        <f>$AU$61-$AT$61</f>
        <v/>
      </c>
      <c r="AX61" s="4" t="n">
        <v>1845.34</v>
      </c>
      <c r="AY61" s="47" t="n">
        <v>1845.34</v>
      </c>
      <c r="AZ61" s="47">
        <f>$AX$61-$AW$61</f>
        <v/>
      </c>
      <c r="BA61" s="4" t="n">
        <v>1845.34</v>
      </c>
      <c r="BB61" s="4" t="n">
        <v>0</v>
      </c>
      <c r="BC61" s="4" t="n">
        <v>1845.34</v>
      </c>
      <c r="BD61" s="4" t="n">
        <v>1845.34</v>
      </c>
      <c r="BE61" s="47" t="n">
        <v>1845.34</v>
      </c>
      <c r="BF61" s="47">
        <f>$BD$61-$BC$61</f>
        <v/>
      </c>
      <c r="BG61" s="6" t="n">
        <v>4328.71</v>
      </c>
      <c r="BH61" s="53" t="n">
        <v>4305.88</v>
      </c>
      <c r="BI61" s="53">
        <f>$BG$61-$BF$61</f>
        <v/>
      </c>
      <c r="BJ61" s="4" t="n">
        <v>8019.389999999999</v>
      </c>
      <c r="BK61" s="4" t="n">
        <v>8019.389999999999</v>
      </c>
      <c r="BL61" t="inlineStr">
        <is>
          <t xml:space="preserve"> Match=0 but Roth or Deferral &gt;0. </t>
        </is>
      </c>
    </row>
    <row r="62">
      <c r="A62" t="n">
        <v>57</v>
      </c>
      <c r="B62" s="1" t="n"/>
      <c r="C62" s="1" t="n"/>
      <c r="D62" s="1" t="inlineStr"/>
      <c r="E62" s="2" t="n">
        <v>34586</v>
      </c>
      <c r="F62" s="36" t="n">
        <v>34586</v>
      </c>
      <c r="G62" s="36" t="b">
        <v>1</v>
      </c>
      <c r="H62" s="24" t="n">
        <v>34586</v>
      </c>
      <c r="I62" s="24" t="b">
        <v>1</v>
      </c>
      <c r="J62" s="2" t="n">
        <v>44725</v>
      </c>
      <c r="K62" s="36" t="n">
        <v>44725</v>
      </c>
      <c r="L62" s="36" t="b">
        <v>1</v>
      </c>
      <c r="M62" s="24" t="n">
        <v>44725</v>
      </c>
      <c r="N62" s="24" t="b">
        <v>1</v>
      </c>
      <c r="O62" s="2" t="n">
        <v>44835</v>
      </c>
      <c r="P62" t="inlineStr">
        <is>
          <t>Processed</t>
        </is>
      </c>
      <c r="Q62" s="36" t="n">
        <v>44835</v>
      </c>
      <c r="R62" s="36" t="b">
        <v>1</v>
      </c>
      <c r="S62" s="24" t="n">
        <v>44835</v>
      </c>
      <c r="T62" s="24" t="b">
        <v>1</v>
      </c>
      <c r="W62" s="39" t="b">
        <v>1</v>
      </c>
      <c r="Y62" s="27" t="b">
        <v>1</v>
      </c>
      <c r="AB62" s="39" t="b">
        <v>1</v>
      </c>
      <c r="AD62" s="27" t="b">
        <v>1</v>
      </c>
      <c r="AE62" s="1" t="inlineStr">
        <is>
          <t>A</t>
        </is>
      </c>
      <c r="AF62" s="1" t="inlineStr">
        <is>
          <t>N</t>
        </is>
      </c>
      <c r="AG62" s="3" t="n">
        <v>0</v>
      </c>
      <c r="AH62" s="1" t="inlineStr">
        <is>
          <t>N</t>
        </is>
      </c>
      <c r="AI62" s="1" t="inlineStr">
        <is>
          <t>N</t>
        </is>
      </c>
      <c r="AJ62" s="4" t="n">
        <v>10927.84</v>
      </c>
      <c r="AK62" s="5" t="n">
        <v>2108.24</v>
      </c>
      <c r="AL62" s="41" t="n">
        <v>2108.24</v>
      </c>
      <c r="AM62" s="41">
        <f>IF(AND(ISNUMBER($AK$62), ISNUMBER($AJ$62)), IF(($AK$62 - $AJ$62)&lt;=1, 0, ($AK$62 - $AJ$62)), "")</f>
        <v/>
      </c>
      <c r="AN62" s="5" t="n">
        <v>2</v>
      </c>
      <c r="AO62" s="29" t="n">
        <v>1</v>
      </c>
      <c r="AP62" s="29" t="b">
        <v>1</v>
      </c>
      <c r="AQ62" s="4" t="n">
        <v>39987.85</v>
      </c>
      <c r="AR62" s="47" t="n">
        <v>39987.85</v>
      </c>
      <c r="AS62" s="47">
        <f>$AQ$62-$AP$62</f>
        <v/>
      </c>
      <c r="AT62" s="4" t="n">
        <v>39987.85</v>
      </c>
      <c r="AU62" s="4" t="n">
        <v>1188</v>
      </c>
      <c r="AV62" s="47" t="n">
        <v>1188</v>
      </c>
      <c r="AW62" s="47">
        <f>$AU$62-$AT$62</f>
        <v/>
      </c>
      <c r="AX62" s="4" t="n">
        <v>0</v>
      </c>
      <c r="AY62" s="47" t="n">
        <v>0</v>
      </c>
      <c r="AZ62" s="47">
        <f>$AX$62-$AW$62</f>
        <v/>
      </c>
      <c r="BA62" s="4" t="n">
        <v>1188</v>
      </c>
      <c r="BB62" s="4" t="n">
        <v>0</v>
      </c>
      <c r="BC62" s="4" t="n">
        <v>1188</v>
      </c>
      <c r="BD62" s="4" t="n">
        <v>1188</v>
      </c>
      <c r="BE62" s="47" t="n">
        <v>1188</v>
      </c>
      <c r="BF62" s="47">
        <f>$BD$62-$BC$62</f>
        <v/>
      </c>
      <c r="BG62" s="6" t="n">
        <v>2583.22</v>
      </c>
      <c r="BH62" s="53" t="n">
        <v>2772.06</v>
      </c>
      <c r="BI62" s="53">
        <f>$BG$62-$BF$62</f>
        <v/>
      </c>
      <c r="BJ62" s="4" t="n">
        <v>4959.219999999999</v>
      </c>
      <c r="BK62" s="4" t="n">
        <v>4959.219999999999</v>
      </c>
      <c r="BL62" t="inlineStr">
        <is>
          <t xml:space="preserve"> Match=0 but Roth or Deferral &gt;0. </t>
        </is>
      </c>
    </row>
    <row r="63">
      <c r="A63" t="n">
        <v>58</v>
      </c>
      <c r="B63" s="1" t="n"/>
      <c r="C63" s="1" t="n"/>
      <c r="D63" s="1" t="inlineStr"/>
      <c r="E63" s="2" t="n">
        <v>28272</v>
      </c>
      <c r="F63" s="36" t="n">
        <v>28272</v>
      </c>
      <c r="G63" s="36" t="b">
        <v>1</v>
      </c>
      <c r="H63" s="24" t="n">
        <v>28272</v>
      </c>
      <c r="I63" s="24" t="b">
        <v>1</v>
      </c>
      <c r="J63" s="2" t="n">
        <v>44753</v>
      </c>
      <c r="K63" s="36" t="n">
        <v>44753</v>
      </c>
      <c r="L63" s="36" t="b">
        <v>1</v>
      </c>
      <c r="M63" s="24" t="n">
        <v>44753</v>
      </c>
      <c r="N63" s="24" t="b">
        <v>1</v>
      </c>
      <c r="O63" s="2" t="n">
        <v>44866</v>
      </c>
      <c r="P63" t="inlineStr">
        <is>
          <t>Processed</t>
        </is>
      </c>
      <c r="Q63" s="36" t="n">
        <v>44866</v>
      </c>
      <c r="R63" s="36" t="b">
        <v>1</v>
      </c>
      <c r="S63" s="24" t="n">
        <v>44866</v>
      </c>
      <c r="T63" s="24" t="b">
        <v>1</v>
      </c>
      <c r="W63" s="39" t="b">
        <v>1</v>
      </c>
      <c r="Y63" s="27" t="b">
        <v>1</v>
      </c>
      <c r="AB63" s="39" t="b">
        <v>1</v>
      </c>
      <c r="AD63" s="27" t="b">
        <v>1</v>
      </c>
      <c r="AE63" s="1" t="inlineStr">
        <is>
          <t>A</t>
        </is>
      </c>
      <c r="AF63" s="1" t="inlineStr">
        <is>
          <t>N</t>
        </is>
      </c>
      <c r="AG63" s="3" t="n">
        <v>0</v>
      </c>
      <c r="AH63" s="1" t="inlineStr">
        <is>
          <t>N</t>
        </is>
      </c>
      <c r="AI63" s="1" t="inlineStr">
        <is>
          <t>N</t>
        </is>
      </c>
      <c r="AJ63" s="4" t="n">
        <v>11768.86</v>
      </c>
      <c r="AK63" s="5" t="n">
        <v>2093.83</v>
      </c>
      <c r="AL63" s="41" t="n">
        <v>2093.83</v>
      </c>
      <c r="AM63" s="41">
        <f>IF(AND(ISNUMBER($AK$63), ISNUMBER($AJ$63)), IF(($AK$63 - $AJ$63)&lt;=1, 0, ($AK$63 - $AJ$63)), "")</f>
        <v/>
      </c>
      <c r="AN63" s="5" t="n">
        <v>2</v>
      </c>
      <c r="AO63" s="29" t="n">
        <v>1</v>
      </c>
      <c r="AP63" s="29" t="b">
        <v>1</v>
      </c>
      <c r="AQ63" s="4" t="n">
        <v>48244.31</v>
      </c>
      <c r="AR63" s="47" t="n">
        <v>46186.1</v>
      </c>
      <c r="AS63" s="47">
        <f>$AQ$63-$AP$63</f>
        <v/>
      </c>
      <c r="AT63" s="4" t="n">
        <v>48244.31</v>
      </c>
      <c r="AU63" s="4" t="n">
        <v>2290.93</v>
      </c>
      <c r="AV63" s="47" t="n">
        <v>2290.93</v>
      </c>
      <c r="AW63" s="47">
        <f>$AU$63-$AT$63</f>
        <v/>
      </c>
      <c r="AX63" s="4" t="n">
        <v>0</v>
      </c>
      <c r="AY63" s="47" t="n">
        <v>0</v>
      </c>
      <c r="AZ63" s="47">
        <f>$AX$63-$AW$63</f>
        <v/>
      </c>
      <c r="BA63" s="4" t="n">
        <v>2290.93</v>
      </c>
      <c r="BB63" s="4" t="n">
        <v>0</v>
      </c>
      <c r="BC63" s="4" t="n">
        <v>2290.93</v>
      </c>
      <c r="BD63" s="4" t="n">
        <v>1379.1</v>
      </c>
      <c r="BE63" s="47" t="n">
        <v>1379.1</v>
      </c>
      <c r="BF63" s="47">
        <f>$BD$63-$BC$63</f>
        <v/>
      </c>
      <c r="BG63" s="6" t="n">
        <v>3233.03</v>
      </c>
      <c r="BH63" s="53" t="n">
        <v>3207.34</v>
      </c>
      <c r="BI63" s="53">
        <f>$BG$63-$BF$63</f>
        <v/>
      </c>
      <c r="BJ63" s="4" t="n">
        <v>6903.059999999999</v>
      </c>
      <c r="BK63" s="4" t="n">
        <v>6903.059999999999</v>
      </c>
      <c r="BL63" t="inlineStr">
        <is>
          <t xml:space="preserve"> Match=0 but Roth or Deferral &gt;0. </t>
        </is>
      </c>
    </row>
    <row r="64">
      <c r="A64" t="n">
        <v>59</v>
      </c>
      <c r="B64" s="1" t="n"/>
      <c r="C64" s="1" t="n"/>
      <c r="D64" s="1" t="inlineStr"/>
      <c r="E64" s="2" t="n">
        <v>29109</v>
      </c>
      <c r="F64" s="36" t="n">
        <v>29109</v>
      </c>
      <c r="G64" s="36" t="b">
        <v>1</v>
      </c>
      <c r="H64" s="24" t="n">
        <v>29109</v>
      </c>
      <c r="I64" s="24" t="b">
        <v>1</v>
      </c>
      <c r="J64" s="2" t="n">
        <v>44774</v>
      </c>
      <c r="K64" s="36" t="n">
        <v>44774</v>
      </c>
      <c r="L64" s="36" t="b">
        <v>1</v>
      </c>
      <c r="M64" s="24" t="n">
        <v>44774</v>
      </c>
      <c r="N64" s="24" t="b">
        <v>1</v>
      </c>
      <c r="O64" s="2" t="n">
        <v>44774</v>
      </c>
      <c r="P64" t="inlineStr">
        <is>
          <t>Processed</t>
        </is>
      </c>
      <c r="Q64" s="36" t="n">
        <v>44774</v>
      </c>
      <c r="R64" s="36" t="b">
        <v>1</v>
      </c>
      <c r="S64" s="24" t="n">
        <v>44774</v>
      </c>
      <c r="T64" s="24" t="b">
        <v>1</v>
      </c>
      <c r="W64" s="39" t="b">
        <v>1</v>
      </c>
      <c r="Y64" s="27" t="b">
        <v>1</v>
      </c>
      <c r="AB64" s="39" t="b">
        <v>1</v>
      </c>
      <c r="AD64" s="27" t="b">
        <v>1</v>
      </c>
      <c r="AE64" s="1" t="inlineStr">
        <is>
          <t>A</t>
        </is>
      </c>
      <c r="AF64" s="1" t="inlineStr">
        <is>
          <t>N</t>
        </is>
      </c>
      <c r="AG64" s="3" t="n">
        <v>0</v>
      </c>
      <c r="AH64" s="1" t="inlineStr">
        <is>
          <t>N</t>
        </is>
      </c>
      <c r="AI64" s="1" t="inlineStr">
        <is>
          <t>N</t>
        </is>
      </c>
      <c r="AJ64" s="4" t="n">
        <v>21559.81</v>
      </c>
      <c r="AK64" s="5" t="n">
        <v>2096</v>
      </c>
      <c r="AL64" s="41" t="n">
        <v>2096</v>
      </c>
      <c r="AM64" s="41">
        <f>IF(AND(ISNUMBER($AK$64), ISNUMBER($AJ$64)), IF(($AK$64 - $AJ$64)&lt;=1, 0, ($AK$64 - $AJ$64)), "")</f>
        <v/>
      </c>
      <c r="AN64" s="5" t="n">
        <v>4</v>
      </c>
      <c r="AO64" s="29" t="n">
        <v>3</v>
      </c>
      <c r="AP64" s="29" t="b">
        <v>1</v>
      </c>
      <c r="AQ64" s="4" t="n">
        <v>69684.38</v>
      </c>
      <c r="AR64" s="47" t="n">
        <v>69684.38</v>
      </c>
      <c r="AS64" s="47">
        <f>$AQ$64-$AP$64</f>
        <v/>
      </c>
      <c r="AT64" s="4" t="n">
        <v>69684.38</v>
      </c>
      <c r="AU64" s="4" t="n">
        <v>0</v>
      </c>
      <c r="AV64" s="47" t="n">
        <v>0</v>
      </c>
      <c r="AW64" s="47">
        <f>$AU$64-$AT$64</f>
        <v/>
      </c>
      <c r="AX64" s="4" t="n">
        <v>2076.86</v>
      </c>
      <c r="AY64" s="47" t="n">
        <v>2076.86</v>
      </c>
      <c r="AZ64" s="47">
        <f>$AX$64-$AW$64</f>
        <v/>
      </c>
      <c r="BA64" s="4" t="n">
        <v>2076.86</v>
      </c>
      <c r="BB64" s="4" t="n">
        <v>0</v>
      </c>
      <c r="BC64" s="4" t="n">
        <v>2076.86</v>
      </c>
      <c r="BD64" s="4" t="n">
        <v>2076.86</v>
      </c>
      <c r="BE64" s="47" t="n">
        <v>2076.86</v>
      </c>
      <c r="BF64" s="47">
        <f>$BD$64-$BC$64</f>
        <v/>
      </c>
      <c r="BG64" s="6" t="n">
        <v>4877.91</v>
      </c>
      <c r="BH64" s="53" t="n">
        <v>4845.76</v>
      </c>
      <c r="BI64" s="53">
        <f>$BG$64-$BF$64</f>
        <v/>
      </c>
      <c r="BJ64" s="4" t="n">
        <v>9031.630000000001</v>
      </c>
      <c r="BK64" s="4" t="n">
        <v>9031.630000000001</v>
      </c>
      <c r="BL64" t="inlineStr">
        <is>
          <t xml:space="preserve"> Match=0 but Roth or Deferral &gt;0. </t>
        </is>
      </c>
    </row>
    <row r="65">
      <c r="A65" t="n">
        <v>60</v>
      </c>
      <c r="B65" s="1" t="n"/>
      <c r="C65" s="1" t="n"/>
      <c r="D65" s="1" t="inlineStr"/>
      <c r="E65" s="2" t="n">
        <v>36952</v>
      </c>
      <c r="F65" s="36" t="n">
        <v>36952</v>
      </c>
      <c r="G65" s="36" t="b">
        <v>1</v>
      </c>
      <c r="H65" s="24" t="n">
        <v>36952</v>
      </c>
      <c r="I65" s="24" t="b">
        <v>1</v>
      </c>
      <c r="J65" s="2" t="n">
        <v>44774</v>
      </c>
      <c r="K65" s="36" t="n">
        <v>44774</v>
      </c>
      <c r="L65" s="36" t="b">
        <v>1</v>
      </c>
      <c r="M65" s="24" t="n">
        <v>44774</v>
      </c>
      <c r="N65" s="24" t="b">
        <v>1</v>
      </c>
      <c r="O65" s="2" t="n">
        <v>44866</v>
      </c>
      <c r="P65" t="inlineStr">
        <is>
          <t>Processed</t>
        </is>
      </c>
      <c r="Q65" s="36" t="n">
        <v>44866</v>
      </c>
      <c r="R65" s="36" t="b">
        <v>1</v>
      </c>
      <c r="S65" s="24" t="n">
        <v>44866</v>
      </c>
      <c r="T65" s="24" t="b">
        <v>1</v>
      </c>
      <c r="W65" s="39" t="b">
        <v>1</v>
      </c>
      <c r="Y65" s="27" t="b">
        <v>1</v>
      </c>
      <c r="AB65" s="39" t="b">
        <v>1</v>
      </c>
      <c r="AD65" s="27" t="b">
        <v>1</v>
      </c>
      <c r="AE65" s="1" t="inlineStr">
        <is>
          <t>A</t>
        </is>
      </c>
      <c r="AF65" s="1" t="inlineStr">
        <is>
          <t>N</t>
        </is>
      </c>
      <c r="AG65" s="3" t="n">
        <v>0</v>
      </c>
      <c r="AH65" s="1" t="inlineStr">
        <is>
          <t>N</t>
        </is>
      </c>
      <c r="AI65" s="1" t="inlineStr">
        <is>
          <t>N</t>
        </is>
      </c>
      <c r="AJ65" s="4" t="n">
        <v>11715.59</v>
      </c>
      <c r="AK65" s="5" t="n">
        <v>2137.8</v>
      </c>
      <c r="AL65" s="41" t="n">
        <v>2137.8</v>
      </c>
      <c r="AM65" s="41">
        <f>IF(AND(ISNUMBER($AK$65), ISNUMBER($AJ$65)), IF(($AK$65 - $AJ$65)&lt;=1, 0, ($AK$65 - $AJ$65)), "")</f>
        <v/>
      </c>
      <c r="AN65" s="5" t="n">
        <v>2</v>
      </c>
      <c r="AO65" s="29" t="n">
        <v>1</v>
      </c>
      <c r="AP65" s="29" t="b">
        <v>1</v>
      </c>
      <c r="AQ65" s="4" t="n">
        <v>42285.4</v>
      </c>
      <c r="AR65" s="47" t="n">
        <v>40607.8</v>
      </c>
      <c r="AS65" s="47">
        <f>$AQ$65-$AP$65</f>
        <v/>
      </c>
      <c r="AT65" s="4" t="n">
        <v>42285.4</v>
      </c>
      <c r="AU65" s="4" t="n">
        <v>0</v>
      </c>
      <c r="AV65" s="47" t="n">
        <v>0</v>
      </c>
      <c r="AW65" s="47">
        <f>$AU$65-$AT$65</f>
        <v/>
      </c>
      <c r="AX65" s="4" t="n">
        <v>2019.55</v>
      </c>
      <c r="AY65" s="47" t="n">
        <v>2019.55</v>
      </c>
      <c r="AZ65" s="47">
        <f>$AX$65-$AW$65</f>
        <v/>
      </c>
      <c r="BA65" s="4" t="n">
        <v>2019.55</v>
      </c>
      <c r="BB65" s="4" t="n">
        <v>0</v>
      </c>
      <c r="BC65" s="4" t="n">
        <v>2019.55</v>
      </c>
      <c r="BD65" s="4" t="n">
        <v>1211.73</v>
      </c>
      <c r="BE65" s="47" t="n">
        <v>1211.73</v>
      </c>
      <c r="BF65" s="47">
        <f>$BD$65-$BC$65</f>
        <v/>
      </c>
      <c r="BG65" s="6" t="n">
        <v>2623.26</v>
      </c>
      <c r="BH65" s="53" t="n">
        <v>2609.29</v>
      </c>
      <c r="BI65" s="53">
        <f>$BG$65-$BF$65</f>
        <v/>
      </c>
      <c r="BJ65" s="4" t="n">
        <v>5854.54</v>
      </c>
      <c r="BK65" s="4" t="n">
        <v>5854.54</v>
      </c>
      <c r="BL65" t="inlineStr">
        <is>
          <t xml:space="preserve"> Match=0 but Roth or Deferral &gt;0. </t>
        </is>
      </c>
    </row>
    <row r="66">
      <c r="A66" t="n">
        <v>61</v>
      </c>
      <c r="B66" s="1" t="n"/>
      <c r="C66" s="1" t="n"/>
      <c r="D66" s="1" t="inlineStr"/>
      <c r="E66" s="2" t="n">
        <v>31790</v>
      </c>
      <c r="F66" s="36" t="n">
        <v>31790</v>
      </c>
      <c r="G66" s="36" t="b">
        <v>1</v>
      </c>
      <c r="H66" s="24" t="n">
        <v>31790</v>
      </c>
      <c r="I66" s="24" t="b">
        <v>1</v>
      </c>
      <c r="J66" s="2" t="n">
        <v>44837</v>
      </c>
      <c r="K66" s="36" t="n">
        <v>44837</v>
      </c>
      <c r="L66" s="36" t="b">
        <v>1</v>
      </c>
      <c r="M66" s="24" t="n">
        <v>44837</v>
      </c>
      <c r="N66" s="24" t="b">
        <v>1</v>
      </c>
      <c r="O66" s="2" t="n">
        <v>44837</v>
      </c>
      <c r="P66" t="inlineStr">
        <is>
          <t>Processed</t>
        </is>
      </c>
      <c r="Q66" s="36" t="n">
        <v>43739</v>
      </c>
      <c r="R66" s="36" t="b">
        <v>0</v>
      </c>
      <c r="S66" s="24" t="n">
        <v>44837</v>
      </c>
      <c r="T66" s="24" t="b">
        <v>1</v>
      </c>
      <c r="W66" s="39" t="b">
        <v>1</v>
      </c>
      <c r="Y66" s="27" t="b">
        <v>1</v>
      </c>
      <c r="AB66" s="39" t="b">
        <v>1</v>
      </c>
      <c r="AD66" s="27" t="b">
        <v>1</v>
      </c>
      <c r="AE66" s="1" t="inlineStr">
        <is>
          <t>A</t>
        </is>
      </c>
      <c r="AF66" s="1" t="inlineStr">
        <is>
          <t>N</t>
        </is>
      </c>
      <c r="AG66" s="3" t="n">
        <v>0</v>
      </c>
      <c r="AH66" s="1" t="inlineStr">
        <is>
          <t>N</t>
        </is>
      </c>
      <c r="AI66" s="1" t="inlineStr">
        <is>
          <t>N</t>
        </is>
      </c>
      <c r="AJ66" s="4" t="n">
        <v>25864.74</v>
      </c>
      <c r="AK66" s="5" t="n">
        <v>2089.1</v>
      </c>
      <c r="AL66" s="41" t="n">
        <v>2089.1</v>
      </c>
      <c r="AM66" s="41">
        <f>IF(AND(ISNUMBER($AK$66), ISNUMBER($AJ$66)), IF(($AK$66 - $AJ$66)&lt;=1, 0, ($AK$66 - $AJ$66)), "")</f>
        <v/>
      </c>
      <c r="AN66" s="5" t="n">
        <v>4</v>
      </c>
      <c r="AO66" s="29" t="n">
        <v>3</v>
      </c>
      <c r="AP66" s="29" t="b">
        <v>1</v>
      </c>
      <c r="AQ66" s="4" t="n">
        <v>53376.35</v>
      </c>
      <c r="AR66" s="47" t="n">
        <v>51268.43</v>
      </c>
      <c r="AS66" s="47">
        <f>$AQ$66-$AP$66</f>
        <v/>
      </c>
      <c r="AT66" s="4" t="n">
        <v>53376.35</v>
      </c>
      <c r="AU66" s="4" t="n">
        <v>5081.96</v>
      </c>
      <c r="AV66" s="47" t="n">
        <v>5081.96</v>
      </c>
      <c r="AW66" s="47">
        <f>$AU$66-$AT$66</f>
        <v/>
      </c>
      <c r="AX66" s="4" t="n">
        <v>0</v>
      </c>
      <c r="AY66" s="47" t="n">
        <v>0</v>
      </c>
      <c r="AZ66" s="47">
        <f>$AX$66-$AW$66</f>
        <v/>
      </c>
      <c r="BA66" s="4" t="n">
        <v>5081.96</v>
      </c>
      <c r="BB66" s="4" t="n">
        <v>0</v>
      </c>
      <c r="BC66" s="4" t="n">
        <v>5081.96</v>
      </c>
      <c r="BD66" s="4" t="n">
        <v>1531.58</v>
      </c>
      <c r="BE66" s="47" t="n">
        <v>1531.58</v>
      </c>
      <c r="BF66" s="47">
        <f>$BD$66-$BC$66</f>
        <v/>
      </c>
      <c r="BG66" s="6" t="n">
        <v>3588.79</v>
      </c>
      <c r="BH66" s="53" t="n">
        <v>3567.35</v>
      </c>
      <c r="BI66" s="53">
        <f>$BG$66-$BF$66</f>
        <v/>
      </c>
      <c r="BJ66" s="4" t="n">
        <v>10202.33</v>
      </c>
      <c r="BK66" s="4" t="n">
        <v>10202.33</v>
      </c>
      <c r="BL66" t="inlineStr">
        <is>
          <t xml:space="preserve"> Match=0 but Roth or Deferral &gt;0. </t>
        </is>
      </c>
    </row>
    <row r="67">
      <c r="A67" t="n">
        <v>62</v>
      </c>
      <c r="B67" s="1" t="n"/>
      <c r="C67" s="1" t="n"/>
      <c r="D67" s="1" t="inlineStr"/>
      <c r="E67" s="2" t="n">
        <v>27362</v>
      </c>
      <c r="F67" s="36" t="n">
        <v>27362</v>
      </c>
      <c r="G67" s="36" t="b">
        <v>1</v>
      </c>
      <c r="H67" s="24" t="n">
        <v>27362</v>
      </c>
      <c r="I67" s="24" t="b">
        <v>1</v>
      </c>
      <c r="J67" s="2" t="n">
        <v>45033</v>
      </c>
      <c r="K67" s="36" t="n">
        <v>45033</v>
      </c>
      <c r="L67" s="36" t="b">
        <v>1</v>
      </c>
      <c r="M67" s="24" t="n">
        <v>45033</v>
      </c>
      <c r="N67" s="24" t="b">
        <v>1</v>
      </c>
      <c r="O67" s="2" t="n">
        <v>45139</v>
      </c>
      <c r="P67" t="inlineStr">
        <is>
          <t>Processed</t>
        </is>
      </c>
      <c r="Q67" s="36" t="n">
        <v>45139</v>
      </c>
      <c r="R67" s="36" t="b">
        <v>1</v>
      </c>
      <c r="S67" s="24" t="n">
        <v>45139</v>
      </c>
      <c r="T67" s="24" t="b">
        <v>1</v>
      </c>
      <c r="W67" s="39" t="b">
        <v>1</v>
      </c>
      <c r="Y67" s="27" t="b">
        <v>1</v>
      </c>
      <c r="AB67" s="39" t="b">
        <v>1</v>
      </c>
      <c r="AD67" s="27" t="b">
        <v>1</v>
      </c>
      <c r="AE67" s="1" t="inlineStr">
        <is>
          <t>A</t>
        </is>
      </c>
      <c r="AF67" s="1" t="inlineStr">
        <is>
          <t>N</t>
        </is>
      </c>
      <c r="AG67" s="3" t="n">
        <v>0</v>
      </c>
      <c r="AH67" s="1" t="inlineStr">
        <is>
          <t>N</t>
        </is>
      </c>
      <c r="AI67" s="1" t="inlineStr">
        <is>
          <t>N</t>
        </is>
      </c>
      <c r="AJ67" s="4" t="n">
        <v>7769.84</v>
      </c>
      <c r="AK67" s="5" t="n">
        <v>2188.53</v>
      </c>
      <c r="AL67" s="41" t="n">
        <v>2188.53</v>
      </c>
      <c r="AM67" s="41">
        <f>IF(AND(ISNUMBER($AK$67), ISNUMBER($AJ$67)), IF(($AK$67 - $AJ$67)&lt;=1, 0, ($AK$67 - $AJ$67)), "")</f>
        <v/>
      </c>
      <c r="AN67" s="5" t="n">
        <v>2</v>
      </c>
      <c r="AO67" s="29" t="n">
        <v>1</v>
      </c>
      <c r="AP67" s="29" t="b">
        <v>1</v>
      </c>
      <c r="AQ67" s="4" t="n">
        <v>39437.19</v>
      </c>
      <c r="AR67" s="47" t="n">
        <v>39437.19</v>
      </c>
      <c r="AS67" s="47">
        <f>$AQ$67-$AP$67</f>
        <v/>
      </c>
      <c r="AT67" s="4" t="n">
        <v>39437.19</v>
      </c>
      <c r="AU67" s="4" t="n">
        <v>1176.61</v>
      </c>
      <c r="AV67" s="47" t="n">
        <v>1176.61</v>
      </c>
      <c r="AW67" s="47">
        <f>$AU$67-$AT$67</f>
        <v/>
      </c>
      <c r="AX67" s="4" t="n">
        <v>1176.61</v>
      </c>
      <c r="AY67" s="47" t="n">
        <v>1176.61</v>
      </c>
      <c r="AZ67" s="47">
        <f>$AX$67-$AW$67</f>
        <v/>
      </c>
      <c r="BA67" s="4" t="n">
        <v>2353.22</v>
      </c>
      <c r="BB67" s="4" t="n">
        <v>0</v>
      </c>
      <c r="BC67" s="4" t="n">
        <v>2353.22</v>
      </c>
      <c r="BD67" s="4" t="n">
        <v>1176.61</v>
      </c>
      <c r="BE67" s="47" t="n">
        <v>1176.61</v>
      </c>
      <c r="BF67" s="47">
        <f>$BD$67-$BC$67</f>
        <v/>
      </c>
      <c r="BG67" s="6" t="n">
        <v>1924.52</v>
      </c>
      <c r="BH67" s="53" t="n">
        <v>1804.85</v>
      </c>
      <c r="BI67" s="53">
        <f>$BG$67-$BF$67</f>
        <v/>
      </c>
      <c r="BJ67" s="4" t="n">
        <v>5454.35</v>
      </c>
      <c r="BK67" s="4" t="n">
        <v>5454.35</v>
      </c>
      <c r="BL67" t="inlineStr">
        <is>
          <t xml:space="preserve"> Match=0 but Roth or Deferral &gt;0. </t>
        </is>
      </c>
    </row>
    <row r="68">
      <c r="A68" t="n">
        <v>63</v>
      </c>
      <c r="B68" s="1" t="n"/>
      <c r="C68" s="1" t="n"/>
      <c r="D68" s="1" t="inlineStr"/>
      <c r="E68" s="2" t="n">
        <v>34076</v>
      </c>
      <c r="F68" s="36" t="n">
        <v>34076</v>
      </c>
      <c r="G68" s="36" t="b">
        <v>1</v>
      </c>
      <c r="H68" s="24" t="n">
        <v>34076</v>
      </c>
      <c r="I68" s="24" t="b">
        <v>1</v>
      </c>
      <c r="J68" s="2" t="n">
        <v>45117</v>
      </c>
      <c r="K68" s="36" t="n">
        <v>45117</v>
      </c>
      <c r="L68" s="36" t="b">
        <v>1</v>
      </c>
      <c r="M68" s="24" t="n">
        <v>45117</v>
      </c>
      <c r="N68" s="24" t="b">
        <v>1</v>
      </c>
      <c r="O68" s="2" t="n">
        <v>45231</v>
      </c>
      <c r="P68" t="inlineStr">
        <is>
          <t>Processed</t>
        </is>
      </c>
      <c r="Q68" s="36" t="n">
        <v>45231</v>
      </c>
      <c r="R68" s="36" t="b">
        <v>1</v>
      </c>
      <c r="S68" s="24" t="n">
        <v>45231</v>
      </c>
      <c r="T68" s="24" t="b">
        <v>1</v>
      </c>
      <c r="W68" s="39" t="b">
        <v>1</v>
      </c>
      <c r="Y68" s="27" t="b">
        <v>1</v>
      </c>
      <c r="AB68" s="39" t="b">
        <v>1</v>
      </c>
      <c r="AD68" s="27" t="b">
        <v>1</v>
      </c>
      <c r="AE68" s="1" t="inlineStr">
        <is>
          <t>A</t>
        </is>
      </c>
      <c r="AF68" s="1" t="inlineStr">
        <is>
          <t>N</t>
        </is>
      </c>
      <c r="AG68" s="3" t="n">
        <v>0</v>
      </c>
      <c r="AH68" s="1" t="inlineStr">
        <is>
          <t>N</t>
        </is>
      </c>
      <c r="AI68" s="1" t="inlineStr">
        <is>
          <t>N</t>
        </is>
      </c>
      <c r="AJ68" s="4" t="n">
        <v>7553.92</v>
      </c>
      <c r="AK68" s="5" t="n">
        <v>2096.52</v>
      </c>
      <c r="AL68" s="41" t="n">
        <v>2096.52</v>
      </c>
      <c r="AM68" s="41">
        <f>IF(AND(ISNUMBER($AK$68), ISNUMBER($AJ$68)), IF(($AK$68 - $AJ$68)&lt;=1, 0, ($AK$68 - $AJ$68)), "")</f>
        <v/>
      </c>
      <c r="AN68" s="5" t="n">
        <v>1</v>
      </c>
      <c r="AO68" s="29" t="n">
        <v>0</v>
      </c>
      <c r="AP68" s="29" t="b">
        <v>1</v>
      </c>
      <c r="AQ68" s="4" t="n">
        <v>52898.8</v>
      </c>
      <c r="AR68" s="47" t="n">
        <v>52898.8</v>
      </c>
      <c r="AS68" s="47">
        <f>$AQ$68-$AP$68</f>
        <v/>
      </c>
      <c r="AT68" s="4" t="n">
        <v>52898.8</v>
      </c>
      <c r="AU68" s="4" t="n">
        <v>1235.12</v>
      </c>
      <c r="AV68" s="47" t="n">
        <v>1235.12</v>
      </c>
      <c r="AW68" s="47">
        <f>$AU$68-$AT$68</f>
        <v/>
      </c>
      <c r="AX68" s="4" t="n">
        <v>1235.12</v>
      </c>
      <c r="AY68" s="47" t="n">
        <v>1235.12</v>
      </c>
      <c r="AZ68" s="47">
        <f>$AX$68-$AW$68</f>
        <v/>
      </c>
      <c r="BA68" s="4" t="n">
        <v>2470.24</v>
      </c>
      <c r="BB68" s="4" t="n">
        <v>0</v>
      </c>
      <c r="BC68" s="4" t="n">
        <v>2470.24</v>
      </c>
      <c r="BD68" s="4" t="n">
        <v>1586.97</v>
      </c>
      <c r="BE68" s="47" t="n">
        <v>1586.97</v>
      </c>
      <c r="BF68" s="47">
        <f>$BD$68-$BC$68</f>
        <v/>
      </c>
      <c r="BG68" s="6" t="n">
        <v>1605.38</v>
      </c>
      <c r="BH68" s="53" t="n">
        <v>1594.62</v>
      </c>
      <c r="BI68" s="53">
        <f>$BG$68-$BF$68</f>
        <v/>
      </c>
      <c r="BJ68" s="4" t="n">
        <v>5662.59</v>
      </c>
      <c r="BK68" s="4" t="n">
        <v>5662.59</v>
      </c>
      <c r="BL68" t="inlineStr">
        <is>
          <t xml:space="preserve"> Match=0 but Roth or Deferral &gt;0. </t>
        </is>
      </c>
    </row>
    <row r="69">
      <c r="A69" t="n">
        <v>64</v>
      </c>
      <c r="B69" s="1" t="n"/>
      <c r="C69" s="1" t="n"/>
      <c r="D69" s="1" t="inlineStr"/>
      <c r="E69" s="2" t="n">
        <v>32450</v>
      </c>
      <c r="F69" s="36" t="n">
        <v>32450</v>
      </c>
      <c r="G69" s="36" t="b">
        <v>1</v>
      </c>
      <c r="H69" s="24" t="n">
        <v>32450</v>
      </c>
      <c r="I69" s="24" t="b">
        <v>1</v>
      </c>
      <c r="J69" s="2" t="n">
        <v>45117</v>
      </c>
      <c r="K69" s="36" t="n">
        <v>45117</v>
      </c>
      <c r="L69" s="36" t="b">
        <v>1</v>
      </c>
      <c r="M69" s="24" t="n">
        <v>45117</v>
      </c>
      <c r="N69" s="24" t="b">
        <v>1</v>
      </c>
      <c r="O69" s="2" t="n">
        <v>45231</v>
      </c>
      <c r="P69" t="inlineStr">
        <is>
          <t>Processed</t>
        </is>
      </c>
      <c r="Q69" s="36" t="n">
        <v>45231</v>
      </c>
      <c r="R69" s="36" t="b">
        <v>1</v>
      </c>
      <c r="S69" s="24" t="n">
        <v>45231</v>
      </c>
      <c r="T69" s="24" t="b">
        <v>1</v>
      </c>
      <c r="W69" s="39" t="b">
        <v>1</v>
      </c>
      <c r="Y69" s="27" t="b">
        <v>1</v>
      </c>
      <c r="AB69" s="39" t="b">
        <v>1</v>
      </c>
      <c r="AD69" s="27" t="b">
        <v>1</v>
      </c>
      <c r="AE69" s="1" t="inlineStr">
        <is>
          <t>A</t>
        </is>
      </c>
      <c r="AF69" s="1" t="inlineStr">
        <is>
          <t>N</t>
        </is>
      </c>
      <c r="AG69" s="3" t="n">
        <v>0</v>
      </c>
      <c r="AH69" s="1" t="inlineStr">
        <is>
          <t>N</t>
        </is>
      </c>
      <c r="AI69" s="1" t="inlineStr">
        <is>
          <t>N</t>
        </is>
      </c>
      <c r="AJ69" s="4" t="n">
        <v>7586.47</v>
      </c>
      <c r="AK69" s="5" t="n">
        <v>2074.23</v>
      </c>
      <c r="AL69" s="41" t="n">
        <v>2074.23</v>
      </c>
      <c r="AM69" s="41">
        <f>IF(AND(ISNUMBER($AK$69), ISNUMBER($AJ$69)), IF(($AK$69 - $AJ$69)&lt;=1, 0, ($AK$69 - $AJ$69)), "")</f>
        <v/>
      </c>
      <c r="AN69" s="5" t="n">
        <v>1</v>
      </c>
      <c r="AO69" s="29" t="n">
        <v>0</v>
      </c>
      <c r="AP69" s="29" t="b">
        <v>1</v>
      </c>
      <c r="AQ69" s="4" t="n">
        <v>36681.7</v>
      </c>
      <c r="AR69" s="47" t="n">
        <v>36681.7</v>
      </c>
      <c r="AS69" s="47">
        <f>$AQ$69-$AP$69</f>
        <v/>
      </c>
      <c r="AT69" s="4" t="n">
        <v>36681.7</v>
      </c>
      <c r="AU69" s="4" t="n">
        <v>1090.93</v>
      </c>
      <c r="AV69" s="47" t="n">
        <v>1090.93</v>
      </c>
      <c r="AW69" s="47">
        <f>$AU$69-$AT$69</f>
        <v/>
      </c>
      <c r="AX69" s="4" t="n">
        <v>0</v>
      </c>
      <c r="AY69" s="47" t="n">
        <v>0</v>
      </c>
      <c r="AZ69" s="47">
        <f>$AX$69-$AW$69</f>
        <v/>
      </c>
      <c r="BA69" s="4" t="n">
        <v>1090.93</v>
      </c>
      <c r="BB69" s="4" t="n">
        <v>0</v>
      </c>
      <c r="BC69" s="4" t="n">
        <v>1090.93</v>
      </c>
      <c r="BD69" s="4" t="n">
        <v>1090.93</v>
      </c>
      <c r="BE69" s="47" t="n">
        <v>1090.93</v>
      </c>
      <c r="BF69" s="47">
        <f>$BD$69-$BC$69</f>
        <v/>
      </c>
      <c r="BG69" s="6" t="n">
        <v>1053.3</v>
      </c>
      <c r="BH69" s="53" t="n">
        <v>1119.12</v>
      </c>
      <c r="BI69" s="53">
        <f>$BG$69-$BF$69</f>
        <v/>
      </c>
      <c r="BJ69" s="4" t="n">
        <v>3235.16</v>
      </c>
      <c r="BK69" s="4" t="n">
        <v>3235.16</v>
      </c>
      <c r="BL69" t="inlineStr">
        <is>
          <t xml:space="preserve"> Match=0 but Roth or Deferral &gt;0. </t>
        </is>
      </c>
    </row>
    <row r="70">
      <c r="A70" t="n">
        <v>65</v>
      </c>
      <c r="B70" s="1" t="n"/>
      <c r="C70" s="1" t="n"/>
      <c r="D70" s="1" t="inlineStr"/>
      <c r="E70" s="2" t="n">
        <v>36991</v>
      </c>
      <c r="F70" s="36" t="n">
        <v>36991</v>
      </c>
      <c r="G70" s="36" t="b">
        <v>1</v>
      </c>
      <c r="H70" s="24" t="n">
        <v>36991</v>
      </c>
      <c r="I70" s="24" t="b">
        <v>1</v>
      </c>
      <c r="J70" s="2" t="n">
        <v>45174</v>
      </c>
      <c r="K70" s="36" t="n">
        <v>45174</v>
      </c>
      <c r="L70" s="36" t="b">
        <v>1</v>
      </c>
      <c r="M70" s="24" t="n">
        <v>45174</v>
      </c>
      <c r="N70" s="24" t="b">
        <v>1</v>
      </c>
      <c r="O70" s="2" t="n">
        <v>45292</v>
      </c>
      <c r="P70" t="inlineStr">
        <is>
          <t>Processed</t>
        </is>
      </c>
      <c r="Q70" s="36" t="n">
        <v>45292</v>
      </c>
      <c r="R70" s="36" t="b">
        <v>1</v>
      </c>
      <c r="S70" s="24" t="n"/>
      <c r="T70" s="24" t="b">
        <v>0</v>
      </c>
      <c r="W70" s="39" t="b">
        <v>1</v>
      </c>
      <c r="Y70" s="27" t="b">
        <v>1</v>
      </c>
      <c r="AB70" s="39" t="b">
        <v>1</v>
      </c>
      <c r="AD70" s="27" t="b">
        <v>1</v>
      </c>
      <c r="AE70" s="1" t="inlineStr">
        <is>
          <t>A</t>
        </is>
      </c>
      <c r="AF70" s="1" t="inlineStr">
        <is>
          <t>N</t>
        </is>
      </c>
      <c r="AG70" s="3" t="n">
        <v>0</v>
      </c>
      <c r="AH70" s="1" t="inlineStr">
        <is>
          <t>N</t>
        </is>
      </c>
      <c r="AI70" s="1" t="inlineStr">
        <is>
          <t>N</t>
        </is>
      </c>
      <c r="AJ70" s="4" t="n">
        <v>4121.64</v>
      </c>
      <c r="AK70" s="5" t="n">
        <v>2179.8</v>
      </c>
      <c r="AL70" s="41" t="n">
        <v>2179.8</v>
      </c>
      <c r="AM70" s="41">
        <f>IF(AND(ISNUMBER($AK$70), ISNUMBER($AJ$70)), IF(($AK$70 - $AJ$70)&lt;=1, 0, ($AK$70 - $AJ$70)), "")</f>
        <v/>
      </c>
      <c r="AN70" s="5" t="n">
        <v>1</v>
      </c>
      <c r="AO70" s="29" t="n">
        <v>0</v>
      </c>
      <c r="AP70" s="29" t="b">
        <v>1</v>
      </c>
      <c r="AQ70" s="4" t="n">
        <v>38359.75</v>
      </c>
      <c r="AR70" s="47" t="n">
        <v>38359.75</v>
      </c>
      <c r="AS70" s="47">
        <f>$AQ$70-$AP$70</f>
        <v/>
      </c>
      <c r="AT70" s="4" t="n">
        <v>38359.75</v>
      </c>
      <c r="AU70" s="4" t="n">
        <v>1099.23</v>
      </c>
      <c r="AV70" s="47" t="n">
        <v>1099.23</v>
      </c>
      <c r="AW70" s="47">
        <f>$AU$70-$AT$70</f>
        <v/>
      </c>
      <c r="AX70" s="4" t="n">
        <v>1099.23</v>
      </c>
      <c r="AY70" s="47" t="n">
        <v>1099.23</v>
      </c>
      <c r="AZ70" s="47">
        <f>$AX$70-$AW$70</f>
        <v/>
      </c>
      <c r="BA70" s="4" t="n">
        <v>2198.46</v>
      </c>
      <c r="BB70" s="4" t="n">
        <v>0</v>
      </c>
      <c r="BC70" s="4" t="n">
        <v>2198.46</v>
      </c>
      <c r="BD70" s="4" t="n">
        <v>1100.76</v>
      </c>
      <c r="BE70" s="47" t="n">
        <v>1100.76</v>
      </c>
      <c r="BF70" s="47">
        <f>$BD$70-$BC$70</f>
        <v/>
      </c>
      <c r="BG70" s="6" t="n">
        <v>679.46</v>
      </c>
      <c r="BH70" s="53" t="n">
        <v>569.98</v>
      </c>
      <c r="BI70" s="53">
        <f>$BG$70-$BF$70</f>
        <v/>
      </c>
      <c r="BJ70" s="4" t="n">
        <v>3978.68</v>
      </c>
      <c r="BK70" s="4" t="n">
        <v>3978.68</v>
      </c>
      <c r="BL70" t="inlineStr">
        <is>
          <t xml:space="preserve"> New Entrant /  Match=0 but Roth or Deferral &gt;0. </t>
        </is>
      </c>
    </row>
    <row r="71">
      <c r="A71" t="n">
        <v>66</v>
      </c>
      <c r="B71" s="1" t="n"/>
      <c r="C71" s="1" t="n"/>
      <c r="D71" s="1" t="inlineStr"/>
      <c r="E71" s="2" t="n">
        <v>38237</v>
      </c>
      <c r="F71" s="36" t="n">
        <v>38237</v>
      </c>
      <c r="G71" s="36" t="b">
        <v>1</v>
      </c>
      <c r="H71" s="24" t="n">
        <v>38237</v>
      </c>
      <c r="I71" s="24" t="b">
        <v>1</v>
      </c>
      <c r="J71" s="2" t="n">
        <v>45229</v>
      </c>
      <c r="K71" s="36" t="n">
        <v>45229</v>
      </c>
      <c r="L71" s="36" t="b">
        <v>1</v>
      </c>
      <c r="M71" s="24" t="n">
        <v>45229</v>
      </c>
      <c r="N71" s="24" t="b">
        <v>1</v>
      </c>
      <c r="O71" s="2" t="n">
        <v>45323</v>
      </c>
      <c r="P71" t="inlineStr">
        <is>
          <t>Processed</t>
        </is>
      </c>
      <c r="Q71" s="36" t="n">
        <v>45323</v>
      </c>
      <c r="R71" s="36" t="b">
        <v>1</v>
      </c>
      <c r="S71" s="24" t="n"/>
      <c r="T71" s="24" t="b">
        <v>0</v>
      </c>
      <c r="W71" s="39" t="b">
        <v>1</v>
      </c>
      <c r="Y71" s="27" t="b">
        <v>1</v>
      </c>
      <c r="AB71" s="39" t="b">
        <v>1</v>
      </c>
      <c r="AD71" s="27" t="b">
        <v>1</v>
      </c>
      <c r="AE71" s="1" t="inlineStr">
        <is>
          <t>A</t>
        </is>
      </c>
      <c r="AF71" s="1" t="inlineStr">
        <is>
          <t>N</t>
        </is>
      </c>
      <c r="AG71" s="3" t="n">
        <v>0</v>
      </c>
      <c r="AH71" s="1" t="inlineStr">
        <is>
          <t>N</t>
        </is>
      </c>
      <c r="AI71" s="1" t="inlineStr">
        <is>
          <t>N</t>
        </is>
      </c>
      <c r="AJ71" s="4" t="n">
        <v>4009.38</v>
      </c>
      <c r="AK71" s="5" t="n">
        <v>2072.64</v>
      </c>
      <c r="AL71" s="41" t="n">
        <v>2072.64</v>
      </c>
      <c r="AM71" s="41">
        <f>IF(AND(ISNUMBER($AK$71), ISNUMBER($AJ$71)), IF(($AK$71 - $AJ$71)&lt;=1, 0, ($AK$71 - $AJ$71)), "")</f>
        <v/>
      </c>
      <c r="AN71" s="5" t="n">
        <v>1</v>
      </c>
      <c r="AO71" s="29" t="n">
        <v>0</v>
      </c>
      <c r="AP71" s="29" t="b">
        <v>1</v>
      </c>
      <c r="AQ71" s="4" t="n">
        <v>40906.48</v>
      </c>
      <c r="AR71" s="47" t="n">
        <v>39308.46</v>
      </c>
      <c r="AS71" s="47">
        <f>$AQ$71-$AP$71</f>
        <v/>
      </c>
      <c r="AT71" s="4" t="n">
        <v>40906.48</v>
      </c>
      <c r="AU71" s="4" t="n">
        <v>0</v>
      </c>
      <c r="AV71" s="47" t="n">
        <v>0</v>
      </c>
      <c r="AW71" s="47">
        <f>$AU$71-$AT$71</f>
        <v/>
      </c>
      <c r="AX71" s="4" t="n">
        <v>2716.85</v>
      </c>
      <c r="AY71" s="47" t="n">
        <v>2716.85</v>
      </c>
      <c r="AZ71" s="47">
        <f>$AX$71-$AW$71</f>
        <v/>
      </c>
      <c r="BA71" s="4" t="n">
        <v>2716.85</v>
      </c>
      <c r="BB71" s="4" t="n">
        <v>0</v>
      </c>
      <c r="BC71" s="4" t="n">
        <v>2716.85</v>
      </c>
      <c r="BD71" s="4" t="n">
        <v>1104.96</v>
      </c>
      <c r="BE71" s="47" t="n">
        <v>1104.96</v>
      </c>
      <c r="BF71" s="47">
        <f>$BD$71-$BC$71</f>
        <v/>
      </c>
      <c r="BG71" s="6" t="n">
        <v>0</v>
      </c>
      <c r="BH71" s="53" t="n">
        <v>0</v>
      </c>
      <c r="BI71" s="53">
        <f>$BG$71-$BF$71</f>
        <v/>
      </c>
      <c r="BJ71" s="4" t="n">
        <v>3821.81</v>
      </c>
      <c r="BK71" s="4" t="n">
        <v>3821.81</v>
      </c>
      <c r="BL71" t="inlineStr">
        <is>
          <t xml:space="preserve"> New Entrant /  Match=0 but Roth or Deferral &gt;0. </t>
        </is>
      </c>
    </row>
    <row r="72">
      <c r="A72" t="n">
        <v>67</v>
      </c>
      <c r="B72" s="1" t="n"/>
      <c r="C72" s="1" t="n"/>
      <c r="D72" s="1" t="inlineStr"/>
      <c r="E72" s="2" t="n">
        <v>35355</v>
      </c>
      <c r="F72" s="36" t="n">
        <v>35355</v>
      </c>
      <c r="G72" s="36" t="b">
        <v>1</v>
      </c>
      <c r="H72" s="24" t="n">
        <v>35355</v>
      </c>
      <c r="I72" s="24" t="b">
        <v>1</v>
      </c>
      <c r="J72" s="2" t="n">
        <v>45229</v>
      </c>
      <c r="K72" s="36" t="n">
        <v>45229</v>
      </c>
      <c r="L72" s="36" t="b">
        <v>1</v>
      </c>
      <c r="M72" s="24" t="n">
        <v>45229</v>
      </c>
      <c r="N72" s="24" t="b">
        <v>1</v>
      </c>
      <c r="O72" s="2" t="n">
        <v>45323</v>
      </c>
      <c r="P72" t="inlineStr">
        <is>
          <t>Processed</t>
        </is>
      </c>
      <c r="Q72" s="36" t="n">
        <v>45323</v>
      </c>
      <c r="R72" s="36" t="b">
        <v>1</v>
      </c>
      <c r="S72" s="24" t="n"/>
      <c r="T72" s="24" t="b">
        <v>0</v>
      </c>
      <c r="W72" s="39" t="b">
        <v>1</v>
      </c>
      <c r="Y72" s="27" t="b">
        <v>1</v>
      </c>
      <c r="AB72" s="39" t="b">
        <v>1</v>
      </c>
      <c r="AD72" s="27" t="b">
        <v>1</v>
      </c>
      <c r="AE72" s="1" t="inlineStr">
        <is>
          <t>A</t>
        </is>
      </c>
      <c r="AF72" s="1" t="inlineStr">
        <is>
          <t>N</t>
        </is>
      </c>
      <c r="AG72" s="3" t="n">
        <v>0</v>
      </c>
      <c r="AH72" s="1" t="inlineStr">
        <is>
          <t>N</t>
        </is>
      </c>
      <c r="AI72" s="1" t="inlineStr">
        <is>
          <t>N</t>
        </is>
      </c>
      <c r="AJ72" s="4" t="n">
        <v>1122.28</v>
      </c>
      <c r="AK72" s="5" t="n">
        <v>2148.89</v>
      </c>
      <c r="AL72" s="41" t="n">
        <v>2148.89</v>
      </c>
      <c r="AM72" s="41">
        <f>IF(AND(ISNUMBER($AK$72), ISNUMBER($AJ$72)), IF(($AK$72 - $AJ$72)&lt;=1, 0, ($AK$72 - $AJ$72)), "")</f>
        <v/>
      </c>
      <c r="AN72" s="5" t="n">
        <v>1</v>
      </c>
      <c r="AO72" s="29" t="n">
        <v>0</v>
      </c>
      <c r="AP72" s="29" t="b">
        <v>1</v>
      </c>
      <c r="AQ72" s="4" t="n">
        <v>38843.25</v>
      </c>
      <c r="AR72" s="47" t="n">
        <v>37349.62</v>
      </c>
      <c r="AS72" s="47">
        <f>$AQ$72-$AP$72</f>
        <v/>
      </c>
      <c r="AT72" s="4" t="n">
        <v>38843.25</v>
      </c>
      <c r="AU72" s="4" t="n">
        <v>0</v>
      </c>
      <c r="AV72" s="47" t="n">
        <v>0</v>
      </c>
      <c r="AW72" s="47">
        <f>$AU$72-$AT$72</f>
        <v/>
      </c>
      <c r="AX72" s="4" t="n">
        <v>334.24</v>
      </c>
      <c r="AY72" s="47" t="n">
        <v>334.24</v>
      </c>
      <c r="AZ72" s="47">
        <f>$AX$72-$AW$72</f>
        <v/>
      </c>
      <c r="BA72" s="4" t="n">
        <v>334.24</v>
      </c>
      <c r="BB72" s="4" t="n">
        <v>0</v>
      </c>
      <c r="BC72" s="4" t="n">
        <v>334.24</v>
      </c>
      <c r="BD72" s="4" t="n">
        <v>334.24</v>
      </c>
      <c r="BE72" s="47" t="n">
        <v>334.24</v>
      </c>
      <c r="BF72" s="47">
        <f>$BD$72-$BC$72</f>
        <v/>
      </c>
      <c r="BG72" s="6" t="n">
        <v>436.4</v>
      </c>
      <c r="BH72" s="53" t="n">
        <v>421.24</v>
      </c>
      <c r="BI72" s="53">
        <f>$BG$72-$BF$72</f>
        <v/>
      </c>
      <c r="BJ72" s="4" t="n">
        <v>1104.88</v>
      </c>
      <c r="BK72" s="4" t="n">
        <v>1104.88</v>
      </c>
      <c r="BL72" t="inlineStr">
        <is>
          <t xml:space="preserve"> New Entrant /  Match=0 but Roth or Deferral &gt;0. </t>
        </is>
      </c>
    </row>
    <row r="73">
      <c r="A73" t="n">
        <v>68</v>
      </c>
      <c r="B73" s="1" t="n"/>
      <c r="C73" s="1" t="n"/>
      <c r="D73" s="1" t="inlineStr"/>
      <c r="E73" s="2" t="n">
        <v>28425</v>
      </c>
      <c r="F73" s="36" t="n">
        <v>28425</v>
      </c>
      <c r="G73" s="36" t="b">
        <v>1</v>
      </c>
      <c r="H73" s="24" t="n">
        <v>28425</v>
      </c>
      <c r="I73" s="24" t="b">
        <v>1</v>
      </c>
      <c r="J73" s="2" t="n">
        <v>45243</v>
      </c>
      <c r="K73" s="36" t="n">
        <v>45243</v>
      </c>
      <c r="L73" s="36" t="b">
        <v>1</v>
      </c>
      <c r="M73" s="24" t="n">
        <v>45243</v>
      </c>
      <c r="N73" s="24" t="b">
        <v>1</v>
      </c>
      <c r="O73" s="2" t="n">
        <v>45352</v>
      </c>
      <c r="P73" t="inlineStr">
        <is>
          <t>Processed</t>
        </is>
      </c>
      <c r="Q73" s="36" t="n">
        <v>45352</v>
      </c>
      <c r="R73" s="36" t="b">
        <v>1</v>
      </c>
      <c r="S73" s="24" t="n"/>
      <c r="T73" s="24" t="b">
        <v>0</v>
      </c>
      <c r="W73" s="39" t="b">
        <v>1</v>
      </c>
      <c r="Y73" s="27" t="b">
        <v>1</v>
      </c>
      <c r="AB73" s="39" t="b">
        <v>1</v>
      </c>
      <c r="AD73" s="27" t="b">
        <v>1</v>
      </c>
      <c r="AE73" s="1" t="inlineStr">
        <is>
          <t>A</t>
        </is>
      </c>
      <c r="AF73" s="1" t="inlineStr">
        <is>
          <t>N</t>
        </is>
      </c>
      <c r="AG73" s="3" t="n">
        <v>0</v>
      </c>
      <c r="AH73" s="1" t="inlineStr">
        <is>
          <t>N</t>
        </is>
      </c>
      <c r="AI73" s="1" t="inlineStr">
        <is>
          <t>N</t>
        </is>
      </c>
      <c r="AJ73" s="4" t="n">
        <v>1472.44</v>
      </c>
      <c r="AK73" s="5" t="n">
        <v>1377.29</v>
      </c>
      <c r="AL73" s="41" t="n">
        <v>1377.29</v>
      </c>
      <c r="AM73" s="41">
        <f>IF(AND(ISNUMBER($AK$73), ISNUMBER($AJ$73)), IF(($AK$73 - $AJ$73)&lt;=1, 0, ($AK$73 - $AJ$73)), "")</f>
        <v/>
      </c>
      <c r="AN73" s="5" t="n">
        <v>1</v>
      </c>
      <c r="AO73" s="29" t="n">
        <v>0</v>
      </c>
      <c r="AP73" s="29" t="b">
        <v>1</v>
      </c>
      <c r="AQ73" s="4" t="n">
        <v>24404.57</v>
      </c>
      <c r="AR73" s="47" t="n">
        <v>23530.73</v>
      </c>
      <c r="AS73" s="47">
        <f>$AQ$73-$AP$73</f>
        <v/>
      </c>
      <c r="AT73" s="4" t="n">
        <v>24404.57</v>
      </c>
      <c r="AU73" s="4" t="n">
        <v>609.27</v>
      </c>
      <c r="AV73" s="47" t="n">
        <v>609.27</v>
      </c>
      <c r="AW73" s="47">
        <f>$AU$73-$AT$73</f>
        <v/>
      </c>
      <c r="AX73" s="4" t="n">
        <v>0</v>
      </c>
      <c r="AY73" s="47" t="n">
        <v>0</v>
      </c>
      <c r="AZ73" s="47">
        <f>$AX$73-$AW$73</f>
        <v/>
      </c>
      <c r="BA73" s="4" t="n">
        <v>609.27</v>
      </c>
      <c r="BB73" s="4" t="n">
        <v>0</v>
      </c>
      <c r="BC73" s="4" t="n">
        <v>609.27</v>
      </c>
      <c r="BD73" s="4" t="n">
        <v>609.27</v>
      </c>
      <c r="BE73" s="47" t="n">
        <v>609.27</v>
      </c>
      <c r="BF73" s="47">
        <f>$BD$73-$BC$73</f>
        <v/>
      </c>
      <c r="BG73" s="6" t="n">
        <v>218.61</v>
      </c>
      <c r="BH73" s="53" t="n">
        <v>143.3</v>
      </c>
      <c r="BI73" s="53">
        <f>$BG$73-$BF$73</f>
        <v/>
      </c>
      <c r="BJ73" s="4" t="n">
        <v>1437.15</v>
      </c>
      <c r="BK73" s="4" t="n">
        <v>1437.15</v>
      </c>
      <c r="BL73" t="inlineStr">
        <is>
          <t xml:space="preserve"> New Entrant /  Match=0 but Roth or Deferral &gt;0. </t>
        </is>
      </c>
    </row>
    <row r="74">
      <c r="A74" t="n">
        <v>69</v>
      </c>
      <c r="B74" s="1" t="n"/>
      <c r="C74" s="1" t="n"/>
      <c r="D74" s="1" t="inlineStr"/>
      <c r="E74" s="2" t="n">
        <v>27311</v>
      </c>
      <c r="F74" s="36" t="n">
        <v>27311</v>
      </c>
      <c r="G74" s="36" t="b">
        <v>1</v>
      </c>
      <c r="H74" s="24" t="n">
        <v>27311</v>
      </c>
      <c r="I74" s="24" t="b">
        <v>1</v>
      </c>
      <c r="J74" s="2" t="n">
        <v>45257</v>
      </c>
      <c r="K74" s="36" t="n">
        <v>45257</v>
      </c>
      <c r="L74" s="36" t="b">
        <v>1</v>
      </c>
      <c r="M74" s="24" t="n">
        <v>45257</v>
      </c>
      <c r="N74" s="24" t="b">
        <v>1</v>
      </c>
      <c r="O74" s="2" t="n">
        <v>45352</v>
      </c>
      <c r="P74" t="inlineStr">
        <is>
          <t>Processed</t>
        </is>
      </c>
      <c r="Q74" s="36" t="n">
        <v>45352</v>
      </c>
      <c r="R74" s="36" t="b">
        <v>1</v>
      </c>
      <c r="S74" s="24" t="n"/>
      <c r="T74" s="24" t="b">
        <v>0</v>
      </c>
      <c r="W74" s="39" t="b">
        <v>1</v>
      </c>
      <c r="Y74" s="27" t="b">
        <v>1</v>
      </c>
      <c r="AB74" s="39" t="b">
        <v>1</v>
      </c>
      <c r="AD74" s="27" t="b">
        <v>1</v>
      </c>
      <c r="AE74" s="1" t="inlineStr">
        <is>
          <t>A</t>
        </is>
      </c>
      <c r="AF74" s="1" t="inlineStr">
        <is>
          <t>N</t>
        </is>
      </c>
      <c r="AG74" s="3" t="n">
        <v>0</v>
      </c>
      <c r="AH74" s="1" t="inlineStr">
        <is>
          <t>N</t>
        </is>
      </c>
      <c r="AI74" s="1" t="inlineStr">
        <is>
          <t>N</t>
        </is>
      </c>
      <c r="AJ74" s="4" t="n">
        <v>2673.57</v>
      </c>
      <c r="AK74" s="5" t="n">
        <v>2087.86</v>
      </c>
      <c r="AL74" s="41" t="n">
        <v>2087.86</v>
      </c>
      <c r="AM74" s="41">
        <f>IF(AND(ISNUMBER($AK$74), ISNUMBER($AJ$74)), IF(($AK$74 - $AJ$74)&lt;=1, 0, ($AK$74 - $AJ$74)), "")</f>
        <v/>
      </c>
      <c r="AN74" s="5" t="n">
        <v>1</v>
      </c>
      <c r="AO74" s="29" t="n">
        <v>0</v>
      </c>
      <c r="AP74" s="29" t="b">
        <v>1</v>
      </c>
      <c r="AQ74" s="4" t="n">
        <v>36886.12</v>
      </c>
      <c r="AR74" s="47" t="n">
        <v>36886.12</v>
      </c>
      <c r="AS74" s="47">
        <f>$AQ$74-$AP$74</f>
        <v/>
      </c>
      <c r="AT74" s="4" t="n">
        <v>36886.12</v>
      </c>
      <c r="AU74" s="4" t="n">
        <v>974.04</v>
      </c>
      <c r="AV74" s="47" t="n">
        <v>974.04</v>
      </c>
      <c r="AW74" s="47">
        <f>$AU$74-$AT$74</f>
        <v/>
      </c>
      <c r="AX74" s="4" t="n">
        <v>444.64</v>
      </c>
      <c r="AY74" s="47" t="n">
        <v>444.64</v>
      </c>
      <c r="AZ74" s="47">
        <f>$AX$74-$AW$74</f>
        <v/>
      </c>
      <c r="BA74" s="4" t="n">
        <v>1418.68</v>
      </c>
      <c r="BB74" s="4" t="n">
        <v>0</v>
      </c>
      <c r="BC74" s="4" t="n">
        <v>1418.68</v>
      </c>
      <c r="BD74" s="4" t="n">
        <v>974.04</v>
      </c>
      <c r="BE74" s="47" t="n">
        <v>974.04</v>
      </c>
      <c r="BF74" s="47">
        <f>$BD$74-$BC$74</f>
        <v/>
      </c>
      <c r="BG74" s="6" t="n">
        <v>224.79</v>
      </c>
      <c r="BH74" s="53" t="n">
        <v>210.8</v>
      </c>
      <c r="BI74" s="53">
        <f>$BG$74-$BF$74</f>
        <v/>
      </c>
      <c r="BJ74" s="4" t="n">
        <v>2617.51</v>
      </c>
      <c r="BK74" s="4" t="n">
        <v>2617.51</v>
      </c>
      <c r="BL74" t="inlineStr">
        <is>
          <t xml:space="preserve"> New Entrant /  Match=0 but Roth or Deferral &gt;0. </t>
        </is>
      </c>
    </row>
    <row r="75">
      <c r="A75" t="n">
        <v>70</v>
      </c>
      <c r="B75" s="1" t="n"/>
      <c r="C75" s="1" t="n"/>
      <c r="D75" s="1" t="inlineStr"/>
      <c r="E75" s="2" t="n">
        <v>25892</v>
      </c>
      <c r="F75" s="36" t="n">
        <v>25892</v>
      </c>
      <c r="G75" s="36" t="b">
        <v>1</v>
      </c>
      <c r="H75" s="24" t="n">
        <v>25892</v>
      </c>
      <c r="I75" s="24" t="b">
        <v>1</v>
      </c>
      <c r="J75" s="2" t="n">
        <v>45257</v>
      </c>
      <c r="K75" s="36" t="n">
        <v>45257</v>
      </c>
      <c r="L75" s="36" t="b">
        <v>1</v>
      </c>
      <c r="M75" s="24" t="n">
        <v>45257</v>
      </c>
      <c r="N75" s="24" t="b">
        <v>1</v>
      </c>
      <c r="O75" s="2" t="n">
        <v>45352</v>
      </c>
      <c r="P75" t="inlineStr">
        <is>
          <t>Processed</t>
        </is>
      </c>
      <c r="Q75" s="36" t="n">
        <v>45352</v>
      </c>
      <c r="R75" s="36" t="b">
        <v>1</v>
      </c>
      <c r="S75" s="24" t="n"/>
      <c r="T75" s="24" t="b">
        <v>0</v>
      </c>
      <c r="W75" s="39" t="b">
        <v>1</v>
      </c>
      <c r="Y75" s="27" t="b">
        <v>1</v>
      </c>
      <c r="AB75" s="39" t="b">
        <v>1</v>
      </c>
      <c r="AD75" s="27" t="b">
        <v>1</v>
      </c>
      <c r="AE75" s="1" t="inlineStr">
        <is>
          <t>A</t>
        </is>
      </c>
      <c r="AF75" s="1" t="inlineStr">
        <is>
          <t>N</t>
        </is>
      </c>
      <c r="AG75" s="3" t="n">
        <v>0</v>
      </c>
      <c r="AH75" s="1" t="inlineStr">
        <is>
          <t>N</t>
        </is>
      </c>
      <c r="AI75" s="1" t="inlineStr">
        <is>
          <t>N</t>
        </is>
      </c>
      <c r="AJ75" s="4" t="n">
        <v>2163.84</v>
      </c>
      <c r="AK75" s="5" t="n">
        <v>1445.66</v>
      </c>
      <c r="AL75" s="41" t="n">
        <v>1445.66</v>
      </c>
      <c r="AM75" s="41">
        <f>IF(AND(ISNUMBER($AK$75), ISNUMBER($AJ$75)), IF(($AK$75 - $AJ$75)&lt;=1, 0, ($AK$75 - $AJ$75)), "")</f>
        <v/>
      </c>
      <c r="AN75" s="5" t="n">
        <v>1</v>
      </c>
      <c r="AO75" s="29" t="n">
        <v>0</v>
      </c>
      <c r="AP75" s="29" t="b">
        <v>1</v>
      </c>
      <c r="AQ75" s="4" t="n">
        <v>25089.13</v>
      </c>
      <c r="AR75" s="47" t="n">
        <v>25089.13</v>
      </c>
      <c r="AS75" s="47">
        <f>$AQ$75-$AP$75</f>
        <v/>
      </c>
      <c r="AT75" s="4" t="n">
        <v>25089.13</v>
      </c>
      <c r="AU75" s="4" t="n">
        <v>1401.52</v>
      </c>
      <c r="AV75" s="47" t="n">
        <v>1401.52</v>
      </c>
      <c r="AW75" s="47">
        <f>$AU$75-$AT$75</f>
        <v/>
      </c>
      <c r="AX75" s="4" t="n">
        <v>0</v>
      </c>
      <c r="AY75" s="47" t="n">
        <v>0</v>
      </c>
      <c r="AZ75" s="47">
        <f>$AX$75-$AW$75</f>
        <v/>
      </c>
      <c r="BA75" s="4" t="n">
        <v>1401.52</v>
      </c>
      <c r="BB75" s="4" t="n">
        <v>0</v>
      </c>
      <c r="BC75" s="4" t="n">
        <v>1401.52</v>
      </c>
      <c r="BD75" s="4" t="n">
        <v>572.03</v>
      </c>
      <c r="BE75" s="47" t="n">
        <v>572.03</v>
      </c>
      <c r="BF75" s="47">
        <f>$BD$75-$BC$75</f>
        <v/>
      </c>
      <c r="BG75" s="6" t="n">
        <v>147.16</v>
      </c>
      <c r="BH75" s="53" t="n">
        <v>140.16</v>
      </c>
      <c r="BI75" s="53">
        <f>$BG$75-$BF$75</f>
        <v/>
      </c>
      <c r="BJ75" s="4" t="n">
        <v>2120.71</v>
      </c>
      <c r="BK75" s="4" t="n">
        <v>2120.71</v>
      </c>
      <c r="BL75" t="inlineStr">
        <is>
          <t xml:space="preserve"> New Entrant /  Match=0 but Roth or Deferral &gt;0. </t>
        </is>
      </c>
    </row>
    <row r="76">
      <c r="A76" t="n">
        <v>71</v>
      </c>
      <c r="B76" s="1" t="n"/>
      <c r="C76" s="1" t="n"/>
      <c r="D76" s="1" t="inlineStr"/>
      <c r="E76" s="2" t="n">
        <v>32529</v>
      </c>
      <c r="F76" s="36" t="n">
        <v>32529</v>
      </c>
      <c r="G76" s="36" t="b">
        <v>1</v>
      </c>
      <c r="H76" s="24" t="inlineStr">
        <is>
          <t>No Match Found</t>
        </is>
      </c>
      <c r="I76" s="24" t="b">
        <v>0</v>
      </c>
      <c r="J76" s="2" t="n">
        <v>45342</v>
      </c>
      <c r="K76" s="36" t="n">
        <v>45342</v>
      </c>
      <c r="L76" s="36" t="b">
        <v>1</v>
      </c>
      <c r="M76" s="24" t="inlineStr">
        <is>
          <t>No Match Found</t>
        </is>
      </c>
      <c r="N76" s="24" t="b">
        <v>0</v>
      </c>
      <c r="O76" s="2" t="n">
        <v>45444</v>
      </c>
      <c r="P76" t="inlineStr">
        <is>
          <t>Processed</t>
        </is>
      </c>
      <c r="Q76" s="36" t="n">
        <v>45444</v>
      </c>
      <c r="R76" s="36" t="b">
        <v>1</v>
      </c>
      <c r="S76" s="24" t="inlineStr">
        <is>
          <t>No Match Found</t>
        </is>
      </c>
      <c r="T76" s="24" t="b">
        <v>0</v>
      </c>
      <c r="W76" s="39" t="b">
        <v>1</v>
      </c>
      <c r="X76" s="27" t="inlineStr">
        <is>
          <t>No Match Found</t>
        </is>
      </c>
      <c r="Y76" s="27" t="b">
        <v>0</v>
      </c>
      <c r="AB76" s="39" t="b">
        <v>1</v>
      </c>
      <c r="AC76" s="27" t="inlineStr">
        <is>
          <t>No Match Found</t>
        </is>
      </c>
      <c r="AD76" s="27" t="b">
        <v>0</v>
      </c>
      <c r="AE76" s="1" t="inlineStr">
        <is>
          <t>A</t>
        </is>
      </c>
      <c r="AF76" s="1" t="inlineStr">
        <is>
          <t>N</t>
        </is>
      </c>
      <c r="AG76" s="3" t="n">
        <v>0</v>
      </c>
      <c r="AH76" s="1" t="inlineStr">
        <is>
          <t>N</t>
        </is>
      </c>
      <c r="AI76" s="1" t="inlineStr">
        <is>
          <t>N</t>
        </is>
      </c>
      <c r="AJ76" s="4" t="n">
        <v>0</v>
      </c>
      <c r="AK76" s="5" t="n">
        <v>1414.59</v>
      </c>
      <c r="AL76" s="41" t="n">
        <v>1414.59</v>
      </c>
      <c r="AM76" s="41">
        <f>IF(AND(ISNUMBER($AK$76), ISNUMBER($AJ$76)), IF(($AK$76 - $AJ$76)&lt;=1, 0, ($AK$76 - $AJ$76)), "")</f>
        <v/>
      </c>
      <c r="AN76" s="5" t="n">
        <v>1</v>
      </c>
      <c r="AO76" s="29" t="inlineStr">
        <is>
          <t>No Match Found</t>
        </is>
      </c>
      <c r="AP76" s="29" t="b">
        <v>1</v>
      </c>
      <c r="AQ76" s="4" t="n">
        <v>24078.9</v>
      </c>
      <c r="AR76" s="47" t="n">
        <v>24078.9</v>
      </c>
      <c r="AS76" s="47">
        <f>$AQ$76-$AP$76</f>
        <v/>
      </c>
      <c r="AT76" s="4" t="n">
        <v>24078.9</v>
      </c>
      <c r="AU76" s="4" t="n">
        <v>0</v>
      </c>
      <c r="AV76" s="47" t="n">
        <v>0</v>
      </c>
      <c r="AW76" s="47">
        <f>$AU$76-$AT$76</f>
        <v/>
      </c>
      <c r="AX76" s="4" t="n">
        <v>0</v>
      </c>
      <c r="AY76" s="47" t="n">
        <v>0</v>
      </c>
      <c r="AZ76" s="47">
        <f>$AX$76-$AW$76</f>
        <v/>
      </c>
      <c r="BA76" s="4" t="n">
        <v>0</v>
      </c>
      <c r="BB76" s="4" t="n">
        <v>0</v>
      </c>
      <c r="BC76" s="4" t="n">
        <v>0</v>
      </c>
      <c r="BD76" s="4" t="n">
        <v>0</v>
      </c>
      <c r="BE76" s="47" t="n">
        <v>0</v>
      </c>
      <c r="BF76" s="47">
        <f>$BD$76-$BC$76</f>
        <v/>
      </c>
      <c r="BG76" s="6" t="n">
        <v>0</v>
      </c>
      <c r="BH76" s="53" t="n">
        <v>0</v>
      </c>
      <c r="BI76" s="53">
        <f>$BG$76-$BF$76</f>
        <v/>
      </c>
      <c r="BJ76" s="4" t="n">
        <v>0</v>
      </c>
      <c r="BK76" s="4" t="n">
        <v>0</v>
      </c>
      <c r="BL76" t="inlineStr">
        <is>
          <t xml:space="preserve"> New Entrant</t>
        </is>
      </c>
    </row>
    <row r="77">
      <c r="A77" t="n">
        <v>72</v>
      </c>
      <c r="B77" s="1" t="n"/>
      <c r="C77" s="1" t="n"/>
      <c r="D77" s="1" t="inlineStr"/>
      <c r="E77" s="2" t="n">
        <v>36265</v>
      </c>
      <c r="F77" s="36" t="n">
        <v>36265</v>
      </c>
      <c r="G77" s="36" t="b">
        <v>1</v>
      </c>
      <c r="H77" s="24" t="inlineStr">
        <is>
          <t>No Match Found</t>
        </is>
      </c>
      <c r="I77" s="24" t="b">
        <v>0</v>
      </c>
      <c r="J77" s="2" t="n">
        <v>45383</v>
      </c>
      <c r="K77" s="36" t="n">
        <v>45383</v>
      </c>
      <c r="L77" s="36" t="b">
        <v>1</v>
      </c>
      <c r="M77" s="24" t="inlineStr">
        <is>
          <t>No Match Found</t>
        </is>
      </c>
      <c r="N77" s="24" t="b">
        <v>0</v>
      </c>
      <c r="O77" s="2" t="n">
        <v>45474</v>
      </c>
      <c r="P77" t="inlineStr">
        <is>
          <t>Processed</t>
        </is>
      </c>
      <c r="Q77" s="36" t="n">
        <v>45474</v>
      </c>
      <c r="R77" s="36" t="b">
        <v>1</v>
      </c>
      <c r="S77" s="24" t="inlineStr">
        <is>
          <t>No Match Found</t>
        </is>
      </c>
      <c r="T77" s="24" t="b">
        <v>0</v>
      </c>
      <c r="W77" s="39" t="b">
        <v>1</v>
      </c>
      <c r="X77" s="27" t="inlineStr">
        <is>
          <t>No Match Found</t>
        </is>
      </c>
      <c r="Y77" s="27" t="b">
        <v>0</v>
      </c>
      <c r="AB77" s="39" t="b">
        <v>1</v>
      </c>
      <c r="AC77" s="27" t="inlineStr">
        <is>
          <t>No Match Found</t>
        </is>
      </c>
      <c r="AD77" s="27" t="b">
        <v>0</v>
      </c>
      <c r="AE77" s="1" t="inlineStr">
        <is>
          <t>A</t>
        </is>
      </c>
      <c r="AF77" s="1" t="inlineStr">
        <is>
          <t>N</t>
        </is>
      </c>
      <c r="AG77" s="3" t="n">
        <v>0</v>
      </c>
      <c r="AH77" s="1" t="inlineStr">
        <is>
          <t>N</t>
        </is>
      </c>
      <c r="AI77" s="1" t="inlineStr">
        <is>
          <t>N</t>
        </is>
      </c>
      <c r="AJ77" s="4" t="n">
        <v>2111.63</v>
      </c>
      <c r="AK77" s="5" t="n">
        <v>1367.33</v>
      </c>
      <c r="AL77" s="41" t="n">
        <v>1367.33</v>
      </c>
      <c r="AM77" s="41">
        <f>IF(AND(ISNUMBER($AK$77), ISNUMBER($AJ$77)), IF(($AK$77 - $AJ$77)&lt;=1, 0, ($AK$77 - $AJ$77)), "")</f>
        <v/>
      </c>
      <c r="AN77" s="5" t="n">
        <v>1</v>
      </c>
      <c r="AO77" s="29" t="inlineStr">
        <is>
          <t>No Match Found</t>
        </is>
      </c>
      <c r="AP77" s="29" t="b">
        <v>1</v>
      </c>
      <c r="AQ77" s="4" t="n">
        <v>23395.45</v>
      </c>
      <c r="AR77" s="47" t="n">
        <v>23395.45</v>
      </c>
      <c r="AS77" s="47">
        <f>$AQ$77-$AP$77</f>
        <v/>
      </c>
      <c r="AT77" s="4" t="n">
        <v>23395.45</v>
      </c>
      <c r="AU77" s="4" t="n">
        <v>2000</v>
      </c>
      <c r="AV77" s="47" t="n">
        <v>2000</v>
      </c>
      <c r="AW77" s="47">
        <f>$AU$77-$AT$77</f>
        <v/>
      </c>
      <c r="AX77" s="4" t="n">
        <v>0</v>
      </c>
      <c r="AY77" s="47" t="n">
        <v>0</v>
      </c>
      <c r="AZ77" s="47">
        <f>$AX$77-$AW$77</f>
        <v/>
      </c>
      <c r="BA77" s="4" t="n">
        <v>2000</v>
      </c>
      <c r="BB77" s="4" t="n">
        <v>0</v>
      </c>
      <c r="BC77" s="4" t="n">
        <v>2000</v>
      </c>
      <c r="BD77" s="4" t="n">
        <v>147.23</v>
      </c>
      <c r="BE77" s="47" t="n">
        <v>147.23</v>
      </c>
      <c r="BF77" s="47">
        <f>$BD$77-$BC$77</f>
        <v/>
      </c>
      <c r="BG77" s="6" t="n">
        <v>0</v>
      </c>
      <c r="BH77" s="53" t="n">
        <v>0</v>
      </c>
      <c r="BI77" s="53">
        <f>$BG$77-$BF$77</f>
        <v/>
      </c>
      <c r="BJ77" s="4" t="n">
        <v>2147.23</v>
      </c>
      <c r="BK77" s="4" t="n">
        <v>2147.23</v>
      </c>
      <c r="BL77" t="inlineStr">
        <is>
          <t xml:space="preserve"> New Entrant /  Match=0 but Roth or Deferral &gt;0. </t>
        </is>
      </c>
    </row>
    <row r="78">
      <c r="A78" t="n">
        <v>73</v>
      </c>
      <c r="B78" s="1" t="n"/>
      <c r="C78" s="1" t="n"/>
      <c r="D78" s="1" t="inlineStr"/>
      <c r="E78" s="2" t="n">
        <v>28663</v>
      </c>
      <c r="F78" s="36" t="n">
        <v>28663</v>
      </c>
      <c r="G78" s="36" t="b">
        <v>1</v>
      </c>
      <c r="H78" s="24" t="inlineStr">
        <is>
          <t>No Match Found</t>
        </is>
      </c>
      <c r="I78" s="24" t="b">
        <v>0</v>
      </c>
      <c r="J78" s="2" t="n">
        <v>45397</v>
      </c>
      <c r="K78" s="36" t="n">
        <v>45397</v>
      </c>
      <c r="L78" s="36" t="b">
        <v>1</v>
      </c>
      <c r="M78" s="24" t="inlineStr">
        <is>
          <t>No Match Found</t>
        </is>
      </c>
      <c r="N78" s="24" t="b">
        <v>0</v>
      </c>
      <c r="O78" s="2" t="n">
        <v>45505</v>
      </c>
      <c r="P78" t="inlineStr">
        <is>
          <t>Processed</t>
        </is>
      </c>
      <c r="Q78" s="36" t="n">
        <v>45505</v>
      </c>
      <c r="R78" s="36" t="b">
        <v>1</v>
      </c>
      <c r="S78" s="24" t="inlineStr">
        <is>
          <t>No Match Found</t>
        </is>
      </c>
      <c r="T78" s="24" t="b">
        <v>0</v>
      </c>
      <c r="W78" s="39" t="b">
        <v>1</v>
      </c>
      <c r="X78" s="27" t="inlineStr">
        <is>
          <t>No Match Found</t>
        </is>
      </c>
      <c r="Y78" s="27" t="b">
        <v>0</v>
      </c>
      <c r="AB78" s="39" t="b">
        <v>1</v>
      </c>
      <c r="AC78" s="27" t="inlineStr">
        <is>
          <t>No Match Found</t>
        </is>
      </c>
      <c r="AD78" s="27" t="b">
        <v>0</v>
      </c>
      <c r="AE78" s="1" t="inlineStr">
        <is>
          <t>A</t>
        </is>
      </c>
      <c r="AF78" s="1" t="inlineStr">
        <is>
          <t>N</t>
        </is>
      </c>
      <c r="AG78" s="3" t="n">
        <v>0</v>
      </c>
      <c r="AH78" s="1" t="inlineStr">
        <is>
          <t>N</t>
        </is>
      </c>
      <c r="AI78" s="1" t="inlineStr">
        <is>
          <t>N</t>
        </is>
      </c>
      <c r="AJ78" s="4" t="n">
        <v>1758.33</v>
      </c>
      <c r="AK78" s="5" t="n">
        <v>1308.83</v>
      </c>
      <c r="AL78" s="41" t="n">
        <v>1308.83</v>
      </c>
      <c r="AM78" s="41">
        <f>IF(AND(ISNUMBER($AK$78), ISNUMBER($AJ$78)), IF(($AK$78 - $AJ$78)&lt;=1, 0, ($AK$78 - $AJ$78)), "")</f>
        <v/>
      </c>
      <c r="AN78" s="5" t="n">
        <v>1</v>
      </c>
      <c r="AO78" s="29" t="inlineStr">
        <is>
          <t>No Match Found</t>
        </is>
      </c>
      <c r="AP78" s="29" t="b">
        <v>1</v>
      </c>
      <c r="AQ78" s="4" t="n">
        <v>23375.77</v>
      </c>
      <c r="AR78" s="47" t="n">
        <v>22568.42</v>
      </c>
      <c r="AS78" s="47">
        <f>$AQ$78-$AP$78</f>
        <v/>
      </c>
      <c r="AT78" s="4" t="n">
        <v>23375.77</v>
      </c>
      <c r="AU78" s="4" t="n">
        <v>1351.99</v>
      </c>
      <c r="AV78" s="47" t="n">
        <v>1351.99</v>
      </c>
      <c r="AW78" s="47">
        <f>$AU$78-$AT$78</f>
        <v/>
      </c>
      <c r="AX78" s="4" t="n">
        <v>0</v>
      </c>
      <c r="AY78" s="47" t="n">
        <v>0</v>
      </c>
      <c r="AZ78" s="47">
        <f>$AX$78-$AW$78</f>
        <v/>
      </c>
      <c r="BA78" s="4" t="n">
        <v>1351.99</v>
      </c>
      <c r="BB78" s="4" t="n">
        <v>0</v>
      </c>
      <c r="BC78" s="4" t="n">
        <v>1351.99</v>
      </c>
      <c r="BD78" s="4" t="n">
        <v>405.59</v>
      </c>
      <c r="BE78" s="47" t="n">
        <v>405.59</v>
      </c>
      <c r="BF78" s="47">
        <f>$BD$78-$BC$78</f>
        <v/>
      </c>
      <c r="BG78" s="6" t="n">
        <v>0</v>
      </c>
      <c r="BH78" s="53" t="n">
        <v>0</v>
      </c>
      <c r="BI78" s="53">
        <f>$BG$78-$BF$78</f>
        <v/>
      </c>
      <c r="BJ78" s="4" t="n">
        <v>1757.58</v>
      </c>
      <c r="BK78" s="4" t="n">
        <v>1757.58</v>
      </c>
      <c r="BL78" t="inlineStr">
        <is>
          <t xml:space="preserve"> New Entrant /  Match=0 but Roth or Deferral &gt;0. </t>
        </is>
      </c>
    </row>
    <row r="79">
      <c r="A79" t="n">
        <v>74</v>
      </c>
      <c r="B79" s="1" t="n"/>
      <c r="C79" s="1" t="n"/>
      <c r="D79" s="1" t="inlineStr"/>
      <c r="E79" s="2" t="n">
        <v>33889</v>
      </c>
      <c r="F79" s="36" t="n">
        <v>33889</v>
      </c>
      <c r="G79" s="36" t="b">
        <v>1</v>
      </c>
      <c r="H79" s="24" t="inlineStr">
        <is>
          <t>No Match Found</t>
        </is>
      </c>
      <c r="I79" s="24" t="b">
        <v>0</v>
      </c>
      <c r="J79" s="2" t="n">
        <v>45509</v>
      </c>
      <c r="K79" s="36" t="n">
        <v>45509</v>
      </c>
      <c r="L79" s="36" t="b">
        <v>1</v>
      </c>
      <c r="M79" s="24" t="inlineStr">
        <is>
          <t>No Match Found</t>
        </is>
      </c>
      <c r="N79" s="24" t="b">
        <v>0</v>
      </c>
      <c r="O79" s="2" t="n">
        <v>45627</v>
      </c>
      <c r="P79" t="inlineStr">
        <is>
          <t>Processed</t>
        </is>
      </c>
      <c r="Q79" s="36" t="n">
        <v>45627</v>
      </c>
      <c r="R79" s="36" t="b">
        <v>1</v>
      </c>
      <c r="S79" s="24" t="inlineStr">
        <is>
          <t>No Match Found</t>
        </is>
      </c>
      <c r="T79" s="24" t="b">
        <v>0</v>
      </c>
      <c r="W79" s="39" t="b">
        <v>1</v>
      </c>
      <c r="X79" s="27" t="inlineStr">
        <is>
          <t>No Match Found</t>
        </is>
      </c>
      <c r="Y79" s="27" t="b">
        <v>0</v>
      </c>
      <c r="AB79" s="39" t="b">
        <v>1</v>
      </c>
      <c r="AC79" s="27" t="inlineStr">
        <is>
          <t>No Match Found</t>
        </is>
      </c>
      <c r="AD79" s="27" t="b">
        <v>0</v>
      </c>
      <c r="AE79" s="1" t="inlineStr">
        <is>
          <t>A</t>
        </is>
      </c>
      <c r="AF79" s="1" t="inlineStr">
        <is>
          <t>N</t>
        </is>
      </c>
      <c r="AG79" s="3" t="n">
        <v>0</v>
      </c>
      <c r="AH79" s="1" t="inlineStr">
        <is>
          <t>N</t>
        </is>
      </c>
      <c r="AI79" s="1" t="inlineStr">
        <is>
          <t>N</t>
        </is>
      </c>
      <c r="AJ79" s="4" t="n">
        <v>0</v>
      </c>
      <c r="AK79" s="5" t="n">
        <v>775.95</v>
      </c>
      <c r="AL79" s="41" t="n">
        <v>775.95</v>
      </c>
      <c r="AM79" s="41">
        <f>IF(AND(ISNUMBER($AK$79), ISNUMBER($AJ$79)), IF(($AK$79 - $AJ$79)&lt;=1, 0, ($AK$79 - $AJ$79)), "")</f>
        <v/>
      </c>
      <c r="AN79" s="5" t="n">
        <v>0</v>
      </c>
      <c r="AO79" s="29" t="inlineStr">
        <is>
          <t>No Match Found</t>
        </is>
      </c>
      <c r="AP79" s="29" t="b">
        <v>1</v>
      </c>
      <c r="AQ79" s="4" t="n">
        <v>18401.73</v>
      </c>
      <c r="AR79" s="47" t="n">
        <v>18401.73</v>
      </c>
      <c r="AS79" s="47">
        <f>$AQ$79-$AP$79</f>
        <v/>
      </c>
      <c r="AT79" s="4" t="n">
        <v>18401.73</v>
      </c>
      <c r="AU79" s="4" t="n">
        <v>0</v>
      </c>
      <c r="AV79" s="47" t="n">
        <v>0</v>
      </c>
      <c r="AW79" s="47">
        <f>$AU$79-$AT$79</f>
        <v/>
      </c>
      <c r="AX79" s="4" t="n">
        <v>0</v>
      </c>
      <c r="AY79" s="47" t="n">
        <v>0</v>
      </c>
      <c r="AZ79" s="47">
        <f>$AX$79-$AW$79</f>
        <v/>
      </c>
      <c r="BA79" s="4" t="n">
        <v>0</v>
      </c>
      <c r="BB79" s="4" t="n">
        <v>0</v>
      </c>
      <c r="BC79" s="4" t="n">
        <v>0</v>
      </c>
      <c r="BD79" s="4" t="n">
        <v>0</v>
      </c>
      <c r="BE79" s="47" t="n">
        <v>0</v>
      </c>
      <c r="BF79" s="47">
        <f>$BD$79-$BC$79</f>
        <v/>
      </c>
      <c r="BG79" s="6" t="n">
        <v>0</v>
      </c>
      <c r="BH79" s="53" t="n">
        <v>0</v>
      </c>
      <c r="BI79" s="53">
        <f>$BG$79-$BF$79</f>
        <v/>
      </c>
      <c r="BJ79" s="4" t="n">
        <v>0</v>
      </c>
      <c r="BK79" s="4" t="n">
        <v>0</v>
      </c>
      <c r="BL79" t="inlineStr">
        <is>
          <t xml:space="preserve"> New Entrant</t>
        </is>
      </c>
    </row>
    <row r="80">
      <c r="A80" t="n">
        <v>75</v>
      </c>
      <c r="B80" s="1" t="n"/>
      <c r="C80" s="1" t="n"/>
      <c r="D80" s="1" t="inlineStr"/>
      <c r="E80" s="2" t="n">
        <v>32808</v>
      </c>
      <c r="F80" s="36" t="n">
        <v>32808</v>
      </c>
      <c r="G80" s="36" t="b">
        <v>1</v>
      </c>
      <c r="H80" s="24" t="inlineStr">
        <is>
          <t>No Match Found</t>
        </is>
      </c>
      <c r="I80" s="24" t="b">
        <v>0</v>
      </c>
      <c r="J80" s="2" t="n">
        <v>45530</v>
      </c>
      <c r="K80" s="36" t="n">
        <v>45530</v>
      </c>
      <c r="L80" s="36" t="b">
        <v>1</v>
      </c>
      <c r="M80" s="24" t="inlineStr">
        <is>
          <t>No Match Found</t>
        </is>
      </c>
      <c r="N80" s="24" t="b">
        <v>0</v>
      </c>
      <c r="O80" s="2" t="n">
        <v>45627</v>
      </c>
      <c r="P80" t="inlineStr">
        <is>
          <t>Processed</t>
        </is>
      </c>
      <c r="Q80" s="36" t="n">
        <v>45627</v>
      </c>
      <c r="R80" s="36" t="b">
        <v>1</v>
      </c>
      <c r="S80" s="24" t="inlineStr">
        <is>
          <t>No Match Found</t>
        </is>
      </c>
      <c r="T80" s="24" t="b">
        <v>0</v>
      </c>
      <c r="W80" s="39" t="b">
        <v>1</v>
      </c>
      <c r="X80" s="27" t="inlineStr">
        <is>
          <t>No Match Found</t>
        </is>
      </c>
      <c r="Y80" s="27" t="b">
        <v>0</v>
      </c>
      <c r="AB80" s="39" t="b">
        <v>1</v>
      </c>
      <c r="AC80" s="27" t="inlineStr">
        <is>
          <t>No Match Found</t>
        </is>
      </c>
      <c r="AD80" s="27" t="b">
        <v>0</v>
      </c>
      <c r="AE80" s="1" t="inlineStr">
        <is>
          <t>A</t>
        </is>
      </c>
      <c r="AF80" s="1" t="inlineStr">
        <is>
          <t>N</t>
        </is>
      </c>
      <c r="AG80" s="3" t="n">
        <v>0</v>
      </c>
      <c r="AH80" s="1" t="inlineStr">
        <is>
          <t>N</t>
        </is>
      </c>
      <c r="AI80" s="1" t="inlineStr">
        <is>
          <t>N</t>
        </is>
      </c>
      <c r="AJ80" s="4" t="n">
        <v>161.32</v>
      </c>
      <c r="AK80" s="5" t="n">
        <v>684.14</v>
      </c>
      <c r="AL80" s="41" t="n">
        <v>684.14</v>
      </c>
      <c r="AM80" s="41">
        <f>IF(AND(ISNUMBER($AK$80), ISNUMBER($AJ$80)), IF(($AK$80 - $AJ$80)&lt;=1, 0, ($AK$80 - $AJ$80)), "")</f>
        <v/>
      </c>
      <c r="AN80" s="5" t="n">
        <v>0</v>
      </c>
      <c r="AO80" s="29" t="inlineStr">
        <is>
          <t>No Match Found</t>
        </is>
      </c>
      <c r="AP80" s="29" t="b">
        <v>1</v>
      </c>
      <c r="AQ80" s="4" t="n">
        <v>11619.19</v>
      </c>
      <c r="AR80" s="47" t="n">
        <v>11619.19</v>
      </c>
      <c r="AS80" s="47">
        <f>$AQ$80-$AP$80</f>
        <v/>
      </c>
      <c r="AT80" s="4" t="n">
        <v>11619.19</v>
      </c>
      <c r="AU80" s="4" t="n">
        <v>82.23</v>
      </c>
      <c r="AV80" s="47" t="n">
        <v>82.23</v>
      </c>
      <c r="AW80" s="47">
        <f>$AU$80-$AT$80</f>
        <v/>
      </c>
      <c r="AX80" s="4" t="n">
        <v>0</v>
      </c>
      <c r="AY80" s="47" t="n">
        <v>0</v>
      </c>
      <c r="AZ80" s="47">
        <f>$AX$80-$AW$80</f>
        <v/>
      </c>
      <c r="BA80" s="4" t="n">
        <v>82.23</v>
      </c>
      <c r="BB80" s="4" t="n">
        <v>0</v>
      </c>
      <c r="BC80" s="4" t="n">
        <v>82.23</v>
      </c>
      <c r="BD80" s="4" t="n">
        <v>82.23</v>
      </c>
      <c r="BE80" s="47" t="n">
        <v>82.23</v>
      </c>
      <c r="BF80" s="47">
        <f>$BD$80-$BC$80</f>
        <v/>
      </c>
      <c r="BG80" s="6" t="n">
        <v>0</v>
      </c>
      <c r="BH80" s="53" t="n">
        <v>0</v>
      </c>
      <c r="BI80" s="53">
        <f>$BG$80-$BF$80</f>
        <v/>
      </c>
      <c r="BJ80" s="4" t="n">
        <v>164.46</v>
      </c>
      <c r="BK80" s="4" t="n">
        <v>164.46</v>
      </c>
      <c r="BL80" t="inlineStr">
        <is>
          <t xml:space="preserve"> New Entrant /  Match=0 but Roth or Deferral &gt;0. </t>
        </is>
      </c>
    </row>
    <row r="81">
      <c r="A81" t="n">
        <v>76</v>
      </c>
      <c r="B81" s="1" t="n"/>
      <c r="C81" s="1" t="n"/>
      <c r="D81" s="1" t="inlineStr"/>
      <c r="E81" s="2" t="n">
        <v>20914</v>
      </c>
      <c r="F81" s="36" t="n">
        <v>20914</v>
      </c>
      <c r="G81" s="36" t="b">
        <v>1</v>
      </c>
      <c r="H81" s="24" t="n">
        <v>20914</v>
      </c>
      <c r="I81" s="24" t="b">
        <v>1</v>
      </c>
      <c r="J81" s="2" t="n">
        <v>38159</v>
      </c>
      <c r="K81" s="36" t="n">
        <v>38159</v>
      </c>
      <c r="L81" s="36" t="b">
        <v>1</v>
      </c>
      <c r="M81" s="24" t="n">
        <v>38159</v>
      </c>
      <c r="N81" s="24" t="b">
        <v>1</v>
      </c>
      <c r="O81" s="2" t="n">
        <v>38261</v>
      </c>
      <c r="P81" t="inlineStr">
        <is>
          <t>Processed</t>
        </is>
      </c>
      <c r="Q81" s="36" t="n">
        <v>38261</v>
      </c>
      <c r="R81" s="36" t="b">
        <v>1</v>
      </c>
      <c r="S81" s="24" t="n">
        <v>38261</v>
      </c>
      <c r="T81" s="24" t="b">
        <v>1</v>
      </c>
      <c r="U81" s="2" t="n">
        <v>45317</v>
      </c>
      <c r="V81" s="36" t="n">
        <v>45317</v>
      </c>
      <c r="W81" s="36" t="b">
        <v>1</v>
      </c>
      <c r="X81" s="24" t="n"/>
      <c r="Y81" s="24" t="b">
        <v>0</v>
      </c>
      <c r="AB81" s="39" t="b">
        <v>1</v>
      </c>
      <c r="AD81" s="27" t="b">
        <v>1</v>
      </c>
      <c r="AE81" s="1" t="inlineStr">
        <is>
          <t>X</t>
        </is>
      </c>
      <c r="AF81" s="1" t="inlineStr">
        <is>
          <t>N</t>
        </is>
      </c>
      <c r="AG81" s="3" t="n">
        <v>0</v>
      </c>
      <c r="AH81" s="1" t="inlineStr">
        <is>
          <t>N</t>
        </is>
      </c>
      <c r="AI81" s="1" t="inlineStr">
        <is>
          <t>N</t>
        </is>
      </c>
      <c r="AJ81" s="4" t="n">
        <v>73.73</v>
      </c>
      <c r="AK81" s="5" t="n">
        <v>200</v>
      </c>
      <c r="AL81" s="41" t="n">
        <v>200.5</v>
      </c>
      <c r="AM81" s="41">
        <f>IF(AND(ISNUMBER($AK$81), ISNUMBER($AJ$81)), IF(($AK$81 - $AJ$81)&lt;=1, 0, ($AK$81 - $AJ$81)), "")</f>
        <v/>
      </c>
      <c r="AN81" s="5" t="n">
        <v>18</v>
      </c>
      <c r="AO81" s="29" t="n">
        <v>18</v>
      </c>
      <c r="AP81" s="29" t="b">
        <v>1</v>
      </c>
      <c r="AQ81" s="4" t="n">
        <v>13464.98</v>
      </c>
      <c r="AR81" s="47" t="n">
        <v>13464.98</v>
      </c>
      <c r="AS81" s="47">
        <f>$AQ$81-$AP$81</f>
        <v/>
      </c>
      <c r="AT81" s="4" t="n">
        <v>13464.98</v>
      </c>
      <c r="AU81" s="4" t="n">
        <v>673.25</v>
      </c>
      <c r="AV81" s="47" t="n">
        <v>673.25</v>
      </c>
      <c r="AW81" s="47">
        <f>$AU$81-$AT$81</f>
        <v/>
      </c>
      <c r="AX81" s="4" t="n">
        <v>0</v>
      </c>
      <c r="AY81" s="47" t="n">
        <v>0</v>
      </c>
      <c r="AZ81" s="47">
        <f>$AX$81-$AW$81</f>
        <v/>
      </c>
      <c r="BA81" s="4" t="n">
        <v>673.25</v>
      </c>
      <c r="BB81" s="4" t="n">
        <v>0</v>
      </c>
      <c r="BC81" s="4" t="n">
        <v>673.25</v>
      </c>
      <c r="BD81" s="4" t="n">
        <v>403.94</v>
      </c>
      <c r="BE81" s="47" t="n">
        <v>403.94</v>
      </c>
      <c r="BF81" s="47">
        <f>$BD$81-$BC$81</f>
        <v/>
      </c>
      <c r="BG81" s="6" t="n">
        <v>869.84</v>
      </c>
      <c r="BH81" s="53" t="n">
        <v>869.84</v>
      </c>
      <c r="BI81" s="53">
        <f>$BG$81-$BF$81</f>
        <v/>
      </c>
      <c r="BJ81" s="4" t="n">
        <v>1947.03</v>
      </c>
      <c r="BK81" s="4" t="n">
        <v>1947.03</v>
      </c>
      <c r="BL81" t="inlineStr">
        <is>
          <t xml:space="preserve"> Match=0 but Roth or Deferral &gt;0. </t>
        </is>
      </c>
    </row>
    <row r="82">
      <c r="A82" t="n">
        <v>77</v>
      </c>
      <c r="B82" s="1" t="n"/>
      <c r="C82" s="1" t="n"/>
      <c r="D82" s="1" t="inlineStr"/>
      <c r="E82" s="2" t="n">
        <v>21502</v>
      </c>
      <c r="F82" s="36" t="n">
        <v>21502</v>
      </c>
      <c r="G82" s="36" t="b">
        <v>1</v>
      </c>
      <c r="H82" s="24" t="n">
        <v>21502</v>
      </c>
      <c r="I82" s="24" t="b">
        <v>1</v>
      </c>
      <c r="J82" s="2" t="n">
        <v>41859</v>
      </c>
      <c r="K82" s="36" t="n">
        <v>41859</v>
      </c>
      <c r="L82" s="36" t="b">
        <v>1</v>
      </c>
      <c r="M82" s="24" t="n">
        <v>41859</v>
      </c>
      <c r="N82" s="24" t="b">
        <v>1</v>
      </c>
      <c r="O82" s="2" t="n">
        <v>41974</v>
      </c>
      <c r="P82" t="inlineStr">
        <is>
          <t>Processed</t>
        </is>
      </c>
      <c r="Q82" s="36" t="n">
        <v>41974</v>
      </c>
      <c r="R82" s="36" t="b">
        <v>1</v>
      </c>
      <c r="S82" s="24" t="n">
        <v>41974</v>
      </c>
      <c r="T82" s="24" t="b">
        <v>1</v>
      </c>
      <c r="U82" s="2" t="n">
        <v>45296</v>
      </c>
      <c r="V82" s="36" t="n">
        <v>45296</v>
      </c>
      <c r="W82" s="36" t="b">
        <v>1</v>
      </c>
      <c r="X82" s="24" t="n">
        <v>45296</v>
      </c>
      <c r="Y82" s="24" t="b">
        <v>1</v>
      </c>
      <c r="AB82" s="39" t="b">
        <v>1</v>
      </c>
      <c r="AD82" s="27" t="b">
        <v>1</v>
      </c>
      <c r="AE82" s="1" t="inlineStr">
        <is>
          <t>X</t>
        </is>
      </c>
      <c r="AF82" s="1" t="inlineStr">
        <is>
          <t>N</t>
        </is>
      </c>
      <c r="AG82" s="3" t="n">
        <v>0</v>
      </c>
      <c r="AH82" s="1" t="inlineStr">
        <is>
          <t>N</t>
        </is>
      </c>
      <c r="AI82" s="1" t="inlineStr">
        <is>
          <t>N</t>
        </is>
      </c>
      <c r="AJ82" s="4" t="n">
        <v>23.93</v>
      </c>
      <c r="AK82" s="5" t="n">
        <v>80</v>
      </c>
      <c r="AL82" s="41" t="n">
        <v>80.33</v>
      </c>
      <c r="AM82" s="41">
        <f>IF(AND(ISNUMBER($AK$82), ISNUMBER($AJ$82)), IF(($AK$82 - $AJ$82)&lt;=1, 0, ($AK$82 - $AJ$82)), "")</f>
        <v/>
      </c>
      <c r="AN82" s="5" t="n">
        <v>8</v>
      </c>
      <c r="AO82" s="29" t="n">
        <v>8</v>
      </c>
      <c r="AP82" s="29" t="b">
        <v>1</v>
      </c>
      <c r="AQ82" s="4" t="n">
        <v>8353.01</v>
      </c>
      <c r="AR82" s="47" t="n">
        <v>8353.01</v>
      </c>
      <c r="AS82" s="47">
        <f>$AQ$82-$AP$82</f>
        <v/>
      </c>
      <c r="AT82" s="4" t="n">
        <v>8353.01</v>
      </c>
      <c r="AU82" s="4" t="n">
        <v>250.59</v>
      </c>
      <c r="AV82" s="47" t="n">
        <v>250.59</v>
      </c>
      <c r="AW82" s="47">
        <f>$AU$82-$AT$82</f>
        <v/>
      </c>
      <c r="AX82" s="4" t="n">
        <v>0</v>
      </c>
      <c r="AY82" s="47" t="n">
        <v>0</v>
      </c>
      <c r="AZ82" s="47">
        <f>$AX$82-$AW$82</f>
        <v/>
      </c>
      <c r="BA82" s="4" t="n">
        <v>250.59</v>
      </c>
      <c r="BB82" s="4" t="n">
        <v>0</v>
      </c>
      <c r="BC82" s="4" t="n">
        <v>250.59</v>
      </c>
      <c r="BD82" s="4" t="n">
        <v>250.59</v>
      </c>
      <c r="BE82" s="47" t="n">
        <v>250.59</v>
      </c>
      <c r="BF82" s="47">
        <f>$BD$82-$BC$82</f>
        <v/>
      </c>
      <c r="BG82" s="6" t="n">
        <v>539.6</v>
      </c>
      <c r="BH82" s="53" t="n">
        <v>539.6</v>
      </c>
      <c r="BI82" s="53">
        <f>$BG$82-$BF$82</f>
        <v/>
      </c>
      <c r="BJ82" s="4" t="n">
        <v>1040.78</v>
      </c>
      <c r="BK82" s="4" t="n">
        <v>1040.78</v>
      </c>
      <c r="BL82" t="inlineStr">
        <is>
          <t xml:space="preserve"> Match=0 but Roth or Deferral &gt;0. </t>
        </is>
      </c>
    </row>
    <row r="83">
      <c r="A83" t="n">
        <v>78</v>
      </c>
      <c r="B83" s="1" t="n"/>
      <c r="C83" s="1" t="n"/>
      <c r="D83" s="1" t="inlineStr"/>
      <c r="E83" s="2" t="n">
        <v>35478</v>
      </c>
      <c r="F83" s="36" t="n">
        <v>35478</v>
      </c>
      <c r="G83" s="36" t="b">
        <v>1</v>
      </c>
      <c r="H83" s="24" t="n">
        <v>35478</v>
      </c>
      <c r="I83" s="24" t="b">
        <v>1</v>
      </c>
      <c r="J83" s="2" t="n">
        <v>43794</v>
      </c>
      <c r="K83" s="36" t="n">
        <v>43794</v>
      </c>
      <c r="L83" s="36" t="b">
        <v>1</v>
      </c>
      <c r="M83" s="24" t="n">
        <v>43794</v>
      </c>
      <c r="N83" s="24" t="b">
        <v>1</v>
      </c>
      <c r="O83" s="2" t="n">
        <v>43891</v>
      </c>
      <c r="P83" t="inlineStr">
        <is>
          <t>Processed</t>
        </is>
      </c>
      <c r="Q83" s="36" t="n">
        <v>43891</v>
      </c>
      <c r="R83" s="36" t="b">
        <v>1</v>
      </c>
      <c r="S83" s="24" t="n">
        <v>43891</v>
      </c>
      <c r="T83" s="24" t="b">
        <v>1</v>
      </c>
      <c r="U83" s="2" t="n">
        <v>45527</v>
      </c>
      <c r="V83" s="36" t="n">
        <v>45527</v>
      </c>
      <c r="W83" s="36" t="b">
        <v>1</v>
      </c>
      <c r="X83" s="24" t="n"/>
      <c r="Y83" s="24" t="b">
        <v>0</v>
      </c>
      <c r="AB83" s="39" t="b">
        <v>1</v>
      </c>
      <c r="AD83" s="27" t="b">
        <v>1</v>
      </c>
      <c r="AE83" s="1" t="inlineStr">
        <is>
          <t>X</t>
        </is>
      </c>
      <c r="AF83" s="1" t="inlineStr">
        <is>
          <t>N</t>
        </is>
      </c>
      <c r="AG83" s="3" t="n">
        <v>0</v>
      </c>
      <c r="AH83" s="1" t="inlineStr">
        <is>
          <t>N</t>
        </is>
      </c>
      <c r="AI83" s="1" t="inlineStr">
        <is>
          <t>N</t>
        </is>
      </c>
      <c r="AJ83" s="4" t="n">
        <v>78.41</v>
      </c>
      <c r="AK83" s="5" t="n">
        <v>1401</v>
      </c>
      <c r="AL83" s="41" t="n">
        <v>1400.71</v>
      </c>
      <c r="AM83" s="41">
        <f>IF(AND(ISNUMBER($AK$83), ISNUMBER($AJ$83)), IF(($AK$83 - $AJ$83)&lt;=1, 0, ($AK$83 - $AJ$83)), "")</f>
        <v/>
      </c>
      <c r="AN83" s="5" t="n">
        <v>4</v>
      </c>
      <c r="AO83" s="29" t="n">
        <v>3</v>
      </c>
      <c r="AP83" s="29" t="b">
        <v>1</v>
      </c>
      <c r="AQ83" s="4" t="n">
        <v>33730.93</v>
      </c>
      <c r="AR83" s="47" t="n">
        <v>33730.93</v>
      </c>
      <c r="AS83" s="47">
        <f>$AQ$83-$AP$83</f>
        <v/>
      </c>
      <c r="AT83" s="4" t="n">
        <v>33730.93</v>
      </c>
      <c r="AU83" s="4" t="n">
        <v>0</v>
      </c>
      <c r="AV83" s="47" t="n">
        <v>0</v>
      </c>
      <c r="AW83" s="47">
        <f>$AU$83-$AT$83</f>
        <v/>
      </c>
      <c r="AX83" s="4" t="n">
        <v>1010.95</v>
      </c>
      <c r="AY83" s="47" t="n">
        <v>1010.95</v>
      </c>
      <c r="AZ83" s="47">
        <f>$AX$83-$AW$83</f>
        <v/>
      </c>
      <c r="BA83" s="4" t="n">
        <v>1010.95</v>
      </c>
      <c r="BB83" s="4" t="n">
        <v>0</v>
      </c>
      <c r="BC83" s="4" t="n">
        <v>1010.95</v>
      </c>
      <c r="BD83" s="4" t="n">
        <v>1010.95</v>
      </c>
      <c r="BE83" s="47" t="n">
        <v>1010.95</v>
      </c>
      <c r="BF83" s="47">
        <f>$BD$83-$BC$83</f>
        <v/>
      </c>
      <c r="BG83" s="6" t="n">
        <v>2361.17</v>
      </c>
      <c r="BH83" s="53" t="n">
        <v>2359.03</v>
      </c>
      <c r="BI83" s="53">
        <f>$BG$83-$BF$83</f>
        <v/>
      </c>
      <c r="BJ83" s="4" t="n">
        <v>4383.07</v>
      </c>
      <c r="BK83" s="4" t="n">
        <v>4383.07</v>
      </c>
      <c r="BL83" t="inlineStr">
        <is>
          <t xml:space="preserve"> Match=0 but Roth or Deferral &gt;0. </t>
        </is>
      </c>
    </row>
    <row r="84">
      <c r="A84" t="n">
        <v>79</v>
      </c>
      <c r="B84" s="1" t="n"/>
      <c r="C84" s="1" t="n"/>
      <c r="D84" s="1" t="inlineStr"/>
      <c r="E84" s="2" t="n">
        <v>35847</v>
      </c>
      <c r="F84" s="36" t="n">
        <v>35847</v>
      </c>
      <c r="G84" s="36" t="b">
        <v>1</v>
      </c>
      <c r="H84" s="24" t="n">
        <v>35847</v>
      </c>
      <c r="I84" s="24" t="b">
        <v>1</v>
      </c>
      <c r="J84" s="2" t="n">
        <v>43844</v>
      </c>
      <c r="K84" s="36" t="n">
        <v>43844</v>
      </c>
      <c r="L84" s="36" t="b">
        <v>1</v>
      </c>
      <c r="M84" s="24" t="n">
        <v>43844</v>
      </c>
      <c r="N84" s="24" t="b">
        <v>1</v>
      </c>
      <c r="O84" s="2" t="n">
        <v>43952</v>
      </c>
      <c r="P84" t="inlineStr">
        <is>
          <t>Processed</t>
        </is>
      </c>
      <c r="Q84" s="36" t="n">
        <v>43952</v>
      </c>
      <c r="R84" s="36" t="b">
        <v>1</v>
      </c>
      <c r="S84" s="24" t="n">
        <v>43952</v>
      </c>
      <c r="T84" s="24" t="b">
        <v>1</v>
      </c>
      <c r="U84" s="2" t="n">
        <v>45631</v>
      </c>
      <c r="V84" s="36" t="n">
        <v>45631</v>
      </c>
      <c r="W84" s="36" t="b">
        <v>1</v>
      </c>
      <c r="X84" s="24" t="n"/>
      <c r="Y84" s="24" t="b">
        <v>0</v>
      </c>
      <c r="AB84" s="39" t="b">
        <v>1</v>
      </c>
      <c r="AD84" s="27" t="b">
        <v>1</v>
      </c>
      <c r="AE84" s="1" t="inlineStr">
        <is>
          <t>X</t>
        </is>
      </c>
      <c r="AF84" s="1" t="inlineStr">
        <is>
          <t>N</t>
        </is>
      </c>
      <c r="AG84" s="3" t="n">
        <v>0</v>
      </c>
      <c r="AH84" s="1" t="inlineStr">
        <is>
          <t>N</t>
        </is>
      </c>
      <c r="AI84" s="1" t="inlineStr">
        <is>
          <t>N</t>
        </is>
      </c>
      <c r="AJ84" s="4" t="n">
        <v>24455.41</v>
      </c>
      <c r="AK84" s="5" t="n">
        <v>2243.48</v>
      </c>
      <c r="AL84" s="41" t="n">
        <v>2243.48</v>
      </c>
      <c r="AM84" s="41">
        <f>IF(AND(ISNUMBER($AK$84), ISNUMBER($AJ$84)), IF(($AK$84 - $AJ$84)&lt;=1, 0, ($AK$84 - $AJ$84)), "")</f>
        <v/>
      </c>
      <c r="AN84" s="5" t="n">
        <v>4</v>
      </c>
      <c r="AO84" s="29" t="n">
        <v>3</v>
      </c>
      <c r="AP84" s="29" t="b">
        <v>1</v>
      </c>
      <c r="AQ84" s="4" t="n">
        <v>50954.77</v>
      </c>
      <c r="AR84" s="47" t="n">
        <v>49146.53</v>
      </c>
      <c r="AS84" s="47">
        <f>$AQ$84-$AP$84</f>
        <v/>
      </c>
      <c r="AT84" s="4" t="n">
        <v>50954.77</v>
      </c>
      <c r="AU84" s="4" t="n">
        <v>1466.42</v>
      </c>
      <c r="AV84" s="47" t="n">
        <v>1466.42</v>
      </c>
      <c r="AW84" s="47">
        <f>$AU$84-$AT$84</f>
        <v/>
      </c>
      <c r="AX84" s="4" t="n">
        <v>0</v>
      </c>
      <c r="AY84" s="47" t="n">
        <v>0</v>
      </c>
      <c r="AZ84" s="47">
        <f>$AX$84-$AW$84</f>
        <v/>
      </c>
      <c r="BA84" s="4" t="n">
        <v>1466.42</v>
      </c>
      <c r="BB84" s="4" t="n">
        <v>0</v>
      </c>
      <c r="BC84" s="4" t="n">
        <v>1466.42</v>
      </c>
      <c r="BD84" s="4" t="n">
        <v>1466.42</v>
      </c>
      <c r="BE84" s="47" t="n">
        <v>1466.42</v>
      </c>
      <c r="BF84" s="47">
        <f>$BD$84-$BC$84</f>
        <v/>
      </c>
      <c r="BG84" s="6" t="n">
        <v>3174.87</v>
      </c>
      <c r="BH84" s="53" t="n">
        <v>3157.58</v>
      </c>
      <c r="BI84" s="53">
        <f>$BG$84-$BF$84</f>
        <v/>
      </c>
      <c r="BJ84" s="4" t="n">
        <v>6107.71</v>
      </c>
      <c r="BK84" s="4" t="n">
        <v>6107.71</v>
      </c>
      <c r="BL84" t="inlineStr">
        <is>
          <t xml:space="preserve"> Match=0 but Roth or Deferral &gt;0. </t>
        </is>
      </c>
    </row>
    <row r="85">
      <c r="A85" t="n">
        <v>80</v>
      </c>
      <c r="B85" s="1" t="n"/>
      <c r="C85" s="1" t="n"/>
      <c r="D85" s="1" t="inlineStr"/>
      <c r="E85" s="2" t="n">
        <v>37297</v>
      </c>
      <c r="F85" s="36" t="n">
        <v>37297</v>
      </c>
      <c r="G85" s="36" t="b">
        <v>1</v>
      </c>
      <c r="H85" s="24" t="n">
        <v>37297</v>
      </c>
      <c r="I85" s="24" t="b">
        <v>1</v>
      </c>
      <c r="J85" s="2" t="n">
        <v>44383</v>
      </c>
      <c r="K85" s="36" t="n">
        <v>44383</v>
      </c>
      <c r="L85" s="36" t="b">
        <v>1</v>
      </c>
      <c r="M85" s="24" t="n">
        <v>44383</v>
      </c>
      <c r="N85" s="24" t="b">
        <v>1</v>
      </c>
      <c r="O85" s="2" t="n">
        <v>44501</v>
      </c>
      <c r="P85" t="inlineStr">
        <is>
          <t>Processed</t>
        </is>
      </c>
      <c r="Q85" s="36" t="n">
        <v>44501</v>
      </c>
      <c r="R85" s="36" t="b">
        <v>1</v>
      </c>
      <c r="S85" s="24" t="n">
        <v>44501</v>
      </c>
      <c r="T85" s="24" t="b">
        <v>1</v>
      </c>
      <c r="U85" s="2" t="n">
        <v>45356</v>
      </c>
      <c r="V85" s="36" t="n">
        <v>45356</v>
      </c>
      <c r="W85" s="36" t="b">
        <v>1</v>
      </c>
      <c r="X85" s="24" t="n"/>
      <c r="Y85" s="24" t="b">
        <v>0</v>
      </c>
      <c r="AB85" s="39" t="b">
        <v>1</v>
      </c>
      <c r="AD85" s="27" t="b">
        <v>1</v>
      </c>
      <c r="AE85" s="1" t="inlineStr">
        <is>
          <t>X</t>
        </is>
      </c>
      <c r="AF85" s="1" t="inlineStr">
        <is>
          <t>N</t>
        </is>
      </c>
      <c r="AG85" s="3" t="n">
        <v>0</v>
      </c>
      <c r="AH85" s="1" t="inlineStr">
        <is>
          <t>N</t>
        </is>
      </c>
      <c r="AI85" s="1" t="inlineStr">
        <is>
          <t>N</t>
        </is>
      </c>
      <c r="AJ85" s="4" t="n">
        <v>11353.66</v>
      </c>
      <c r="AK85" s="5" t="n">
        <v>427</v>
      </c>
      <c r="AL85" s="41" t="n">
        <v>426.75</v>
      </c>
      <c r="AM85" s="41">
        <f>IF(AND(ISNUMBER($AK$85), ISNUMBER($AJ$85)), IF(($AK$85 - $AJ$85)&lt;=1, 0, ($AK$85 - $AJ$85)), "")</f>
        <v/>
      </c>
      <c r="AN85" s="5" t="n">
        <v>2</v>
      </c>
      <c r="AO85" s="29" t="n">
        <v>2</v>
      </c>
      <c r="AP85" s="29" t="b">
        <v>1</v>
      </c>
      <c r="AQ85" s="4" t="n">
        <v>9102.389999999999</v>
      </c>
      <c r="AR85" s="47" t="n">
        <v>9102.389999999999</v>
      </c>
      <c r="AS85" s="47">
        <f>$AQ$85-$AP$85</f>
        <v/>
      </c>
      <c r="AT85" s="4" t="n">
        <v>9102.389999999999</v>
      </c>
      <c r="AU85" s="4" t="n">
        <v>0</v>
      </c>
      <c r="AV85" s="47" t="n">
        <v>0</v>
      </c>
      <c r="AW85" s="47">
        <f>$AU$85-$AT$85</f>
        <v/>
      </c>
      <c r="AX85" s="4" t="n">
        <v>297.66</v>
      </c>
      <c r="AY85" s="47" t="n">
        <v>297.66</v>
      </c>
      <c r="AZ85" s="47">
        <f>$AX$85-$AW$85</f>
        <v/>
      </c>
      <c r="BA85" s="4" t="n">
        <v>297.66</v>
      </c>
      <c r="BB85" s="4" t="n">
        <v>0</v>
      </c>
      <c r="BC85" s="4" t="n">
        <v>297.66</v>
      </c>
      <c r="BD85" s="4" t="n">
        <v>223.24</v>
      </c>
      <c r="BE85" s="47" t="n">
        <v>223.24</v>
      </c>
      <c r="BF85" s="47">
        <f>$BD$85-$BC$85</f>
        <v/>
      </c>
      <c r="BG85" s="6" t="n">
        <v>588.01</v>
      </c>
      <c r="BH85" s="53" t="n">
        <v>588.01</v>
      </c>
      <c r="BI85" s="53">
        <f>$BG$85-$BF$85</f>
        <v/>
      </c>
      <c r="BJ85" s="4" t="n">
        <v>1108.91</v>
      </c>
      <c r="BK85" s="4" t="n">
        <v>1108.91</v>
      </c>
      <c r="BL85" t="inlineStr">
        <is>
          <t xml:space="preserve"> Match=0 but Roth or Deferral &gt;0. </t>
        </is>
      </c>
    </row>
    <row r="86">
      <c r="A86" t="n">
        <v>81</v>
      </c>
      <c r="B86" s="1" t="n"/>
      <c r="C86" s="1" t="n"/>
      <c r="D86" s="1" t="inlineStr"/>
      <c r="E86" s="2" t="n">
        <v>37168</v>
      </c>
      <c r="F86" s="36" t="n">
        <v>37168</v>
      </c>
      <c r="G86" s="36" t="b">
        <v>1</v>
      </c>
      <c r="H86" s="24" t="n">
        <v>37168</v>
      </c>
      <c r="I86" s="24" t="b">
        <v>1</v>
      </c>
      <c r="J86" s="2" t="n">
        <v>44599</v>
      </c>
      <c r="K86" s="36" t="n">
        <v>44599</v>
      </c>
      <c r="L86" s="36" t="b">
        <v>1</v>
      </c>
      <c r="M86" s="24" t="n">
        <v>44599</v>
      </c>
      <c r="N86" s="24" t="b">
        <v>1</v>
      </c>
      <c r="O86" s="2" t="n">
        <v>44713</v>
      </c>
      <c r="P86" t="inlineStr">
        <is>
          <t>Processed</t>
        </is>
      </c>
      <c r="Q86" s="36" t="n">
        <v>44713</v>
      </c>
      <c r="R86" s="36" t="b">
        <v>1</v>
      </c>
      <c r="S86" s="24" t="n">
        <v>44713</v>
      </c>
      <c r="T86" s="24" t="b">
        <v>1</v>
      </c>
      <c r="U86" s="2" t="n">
        <v>45576</v>
      </c>
      <c r="V86" s="36" t="n">
        <v>45576</v>
      </c>
      <c r="W86" s="36" t="b">
        <v>1</v>
      </c>
      <c r="X86" s="24" t="n"/>
      <c r="Y86" s="24" t="b">
        <v>0</v>
      </c>
      <c r="AB86" s="39" t="b">
        <v>1</v>
      </c>
      <c r="AD86" s="27" t="b">
        <v>1</v>
      </c>
      <c r="AE86" s="1" t="inlineStr">
        <is>
          <t>X</t>
        </is>
      </c>
      <c r="AF86" s="1" t="inlineStr">
        <is>
          <t>N</t>
        </is>
      </c>
      <c r="AG86" s="3" t="n">
        <v>0</v>
      </c>
      <c r="AH86" s="1" t="inlineStr">
        <is>
          <t>N</t>
        </is>
      </c>
      <c r="AI86" s="1" t="inlineStr">
        <is>
          <t>N</t>
        </is>
      </c>
      <c r="AJ86" s="4" t="n">
        <v>-385.84</v>
      </c>
      <c r="AK86" s="5" t="n">
        <v>1280</v>
      </c>
      <c r="AL86" s="41" t="n">
        <v>1279.89</v>
      </c>
      <c r="AM86" s="41">
        <f>IF(AND(ISNUMBER($AK$86), ISNUMBER($AJ$86)), IF(($AK$86 - $AJ$86)&lt;=1, 0, ($AK$86 - $AJ$86)), "")</f>
        <v/>
      </c>
      <c r="AN86" s="5" t="n">
        <v>3</v>
      </c>
      <c r="AO86" s="29" t="n">
        <v>2</v>
      </c>
      <c r="AP86" s="29" t="b">
        <v>1</v>
      </c>
      <c r="AQ86" s="4" t="n">
        <v>27520.58</v>
      </c>
      <c r="AR86" s="47" t="n">
        <v>27520.58</v>
      </c>
      <c r="AS86" s="47">
        <f>$AQ$86-$AP$86</f>
        <v/>
      </c>
      <c r="AT86" s="4" t="n">
        <v>27520.58</v>
      </c>
      <c r="AU86" s="4" t="n">
        <v>1369.7</v>
      </c>
      <c r="AV86" s="47" t="n">
        <v>1369.7</v>
      </c>
      <c r="AW86" s="47">
        <f>$AU$86-$AT$86</f>
        <v/>
      </c>
      <c r="AX86" s="4" t="n">
        <v>0</v>
      </c>
      <c r="AY86" s="47" t="n">
        <v>0</v>
      </c>
      <c r="AZ86" s="47">
        <f>$AX$86-$AW$86</f>
        <v/>
      </c>
      <c r="BA86" s="4" t="n">
        <v>1369.7</v>
      </c>
      <c r="BB86" s="4" t="n">
        <v>0</v>
      </c>
      <c r="BC86" s="4" t="n">
        <v>1369.7</v>
      </c>
      <c r="BD86" s="4" t="n">
        <v>825.61</v>
      </c>
      <c r="BE86" s="47" t="n">
        <v>825.61</v>
      </c>
      <c r="BF86" s="47">
        <f>$BD$86-$BC$86</f>
        <v/>
      </c>
      <c r="BG86" s="6" t="n">
        <v>1777.83</v>
      </c>
      <c r="BH86" s="53" t="n">
        <v>1769.67</v>
      </c>
      <c r="BI86" s="53">
        <f>$BG$86-$BF$86</f>
        <v/>
      </c>
      <c r="BJ86" s="4" t="n">
        <v>3973.14</v>
      </c>
      <c r="BK86" s="4" t="n">
        <v>3973.14</v>
      </c>
      <c r="BL86" t="inlineStr">
        <is>
          <t xml:space="preserve"> Match=0 but Roth or Deferral &gt;0. </t>
        </is>
      </c>
    </row>
    <row r="87">
      <c r="A87" t="n">
        <v>82</v>
      </c>
      <c r="B87" s="1" t="n"/>
      <c r="C87" s="1" t="n"/>
      <c r="D87" s="1" t="inlineStr"/>
      <c r="E87" s="2" t="n">
        <v>37771</v>
      </c>
      <c r="F87" s="36" t="n">
        <v>37771</v>
      </c>
      <c r="G87" s="36" t="b">
        <v>1</v>
      </c>
      <c r="H87" s="24" t="n">
        <v>37771</v>
      </c>
      <c r="I87" s="24" t="b">
        <v>1</v>
      </c>
      <c r="J87" s="2" t="n">
        <v>44774</v>
      </c>
      <c r="K87" s="36" t="n">
        <v>44774</v>
      </c>
      <c r="L87" s="36" t="b">
        <v>1</v>
      </c>
      <c r="M87" s="24" t="n">
        <v>44774</v>
      </c>
      <c r="N87" s="24" t="b">
        <v>1</v>
      </c>
      <c r="O87" s="2" t="n">
        <v>44866</v>
      </c>
      <c r="P87" t="inlineStr">
        <is>
          <t>Processed</t>
        </is>
      </c>
      <c r="Q87" s="36" t="n">
        <v>44866</v>
      </c>
      <c r="R87" s="36" t="b">
        <v>1</v>
      </c>
      <c r="S87" s="24" t="n">
        <v>44866</v>
      </c>
      <c r="T87" s="24" t="b">
        <v>1</v>
      </c>
      <c r="U87" s="2" t="n">
        <v>45352</v>
      </c>
      <c r="V87" s="36" t="n">
        <v>45352</v>
      </c>
      <c r="W87" s="36" t="b">
        <v>1</v>
      </c>
      <c r="X87" s="24" t="n"/>
      <c r="Y87" s="24" t="b">
        <v>0</v>
      </c>
      <c r="AB87" s="39" t="b">
        <v>1</v>
      </c>
      <c r="AD87" s="27" t="b">
        <v>1</v>
      </c>
      <c r="AE87" s="1" t="inlineStr">
        <is>
          <t>X</t>
        </is>
      </c>
      <c r="AF87" s="1" t="inlineStr">
        <is>
          <t>N</t>
        </is>
      </c>
      <c r="AG87" s="3" t="n">
        <v>0</v>
      </c>
      <c r="AH87" s="1" t="inlineStr">
        <is>
          <t>N</t>
        </is>
      </c>
      <c r="AI87" s="1" t="inlineStr">
        <is>
          <t>N</t>
        </is>
      </c>
      <c r="AJ87" s="4" t="n">
        <v>4332.12</v>
      </c>
      <c r="AK87" s="5" t="n">
        <v>421</v>
      </c>
      <c r="AL87" s="41" t="n">
        <v>421.42</v>
      </c>
      <c r="AM87" s="41">
        <f>IF(AND(ISNUMBER($AK$87), ISNUMBER($AJ$87)), IF(($AK$87 - $AJ$87)&lt;=1, 0, ($AK$87 - $AJ$87)), "")</f>
        <v/>
      </c>
      <c r="AN87" s="5" t="n">
        <v>1</v>
      </c>
      <c r="AO87" s="29" t="n">
        <v>1</v>
      </c>
      <c r="AP87" s="29" t="b">
        <v>1</v>
      </c>
      <c r="AQ87" s="4" t="n">
        <v>9582.030000000001</v>
      </c>
      <c r="AR87" s="47" t="n">
        <v>9582.030000000001</v>
      </c>
      <c r="AS87" s="47">
        <f>$AQ$87-$AP$87</f>
        <v/>
      </c>
      <c r="AT87" s="4" t="n">
        <v>9582.030000000001</v>
      </c>
      <c r="AU87" s="4" t="n">
        <v>0</v>
      </c>
      <c r="AV87" s="47" t="n">
        <v>0</v>
      </c>
      <c r="AW87" s="47">
        <f>$AU$87-$AT$87</f>
        <v/>
      </c>
      <c r="AX87" s="4" t="n">
        <v>287.46</v>
      </c>
      <c r="AY87" s="47" t="n">
        <v>287.46</v>
      </c>
      <c r="AZ87" s="47">
        <f>$AX$87-$AW$87</f>
        <v/>
      </c>
      <c r="BA87" s="4" t="n">
        <v>287.46</v>
      </c>
      <c r="BB87" s="4" t="n">
        <v>0</v>
      </c>
      <c r="BC87" s="4" t="n">
        <v>287.46</v>
      </c>
      <c r="BD87" s="4" t="n">
        <v>287.46</v>
      </c>
      <c r="BE87" s="47" t="n">
        <v>287.46</v>
      </c>
      <c r="BF87" s="47">
        <f>$BD$87-$BC$87</f>
        <v/>
      </c>
      <c r="BG87" s="6" t="n">
        <v>0</v>
      </c>
      <c r="BH87" s="53" t="n">
        <v>0</v>
      </c>
      <c r="BI87" s="53">
        <f>$BG$87-$BF$87</f>
        <v/>
      </c>
      <c r="BJ87" s="4" t="n">
        <v>574.92</v>
      </c>
      <c r="BK87" s="4" t="n">
        <v>574.92</v>
      </c>
      <c r="BL87" t="inlineStr">
        <is>
          <t xml:space="preserve"> Match=0 but Roth or Deferral &gt;0. </t>
        </is>
      </c>
    </row>
    <row r="88">
      <c r="A88" t="n">
        <v>83</v>
      </c>
      <c r="B88" s="1" t="n"/>
      <c r="C88" s="1" t="n"/>
      <c r="D88" s="1" t="inlineStr"/>
      <c r="E88" s="2" t="n">
        <v>37093</v>
      </c>
      <c r="F88" s="36" t="n">
        <v>37093</v>
      </c>
      <c r="G88" s="36" t="b">
        <v>1</v>
      </c>
      <c r="H88" s="24" t="n">
        <v>37093</v>
      </c>
      <c r="I88" s="24" t="b">
        <v>1</v>
      </c>
      <c r="J88" s="2" t="n">
        <v>45117</v>
      </c>
      <c r="K88" s="36" t="n">
        <v>45117</v>
      </c>
      <c r="L88" s="36" t="b">
        <v>1</v>
      </c>
      <c r="M88" s="24" t="n">
        <v>45117</v>
      </c>
      <c r="N88" s="24" t="b">
        <v>1</v>
      </c>
      <c r="O88" s="2" t="n">
        <v>45231</v>
      </c>
      <c r="P88" t="inlineStr">
        <is>
          <t>Processed</t>
        </is>
      </c>
      <c r="Q88" s="36" t="n">
        <v>45231</v>
      </c>
      <c r="R88" s="36" t="b">
        <v>1</v>
      </c>
      <c r="S88" s="24" t="n">
        <v>45231</v>
      </c>
      <c r="T88" s="24" t="b">
        <v>1</v>
      </c>
      <c r="U88" s="2" t="n">
        <v>45380</v>
      </c>
      <c r="V88" s="36" t="n">
        <v>45380</v>
      </c>
      <c r="W88" s="36" t="b">
        <v>1</v>
      </c>
      <c r="X88" s="24" t="n"/>
      <c r="Y88" s="24" t="b">
        <v>0</v>
      </c>
      <c r="AB88" s="39" t="b">
        <v>1</v>
      </c>
      <c r="AD88" s="27" t="b">
        <v>1</v>
      </c>
      <c r="AE88" s="1" t="inlineStr">
        <is>
          <t>X</t>
        </is>
      </c>
      <c r="AF88" s="1" t="inlineStr">
        <is>
          <t>N</t>
        </is>
      </c>
      <c r="AG88" s="3" t="n">
        <v>0</v>
      </c>
      <c r="AH88" s="1" t="inlineStr">
        <is>
          <t>N</t>
        </is>
      </c>
      <c r="AI88" s="1" t="inlineStr">
        <is>
          <t>N</t>
        </is>
      </c>
      <c r="AJ88" s="4" t="n">
        <v>1139.41</v>
      </c>
      <c r="AK88" s="5" t="n">
        <v>575</v>
      </c>
      <c r="AL88" s="41" t="n">
        <v>575.08</v>
      </c>
      <c r="AM88" s="41">
        <f>IF(AND(ISNUMBER($AK$88), ISNUMBER($AJ$88)), IF(($AK$88 - $AJ$88)&lt;=1, 0, ($AK$88 - $AJ$88)), "")</f>
        <v/>
      </c>
      <c r="AN88" s="5" t="n">
        <v>0</v>
      </c>
      <c r="AO88" s="29" t="n">
        <v>0</v>
      </c>
      <c r="AP88" s="29" t="b">
        <v>1</v>
      </c>
      <c r="AQ88" s="4" t="n">
        <v>11589.36</v>
      </c>
      <c r="AR88" s="47" t="n">
        <v>11589.36</v>
      </c>
      <c r="AS88" s="47">
        <f>$AQ$88-$AP$88</f>
        <v/>
      </c>
      <c r="AT88" s="4" t="n">
        <v>11589.36</v>
      </c>
      <c r="AU88" s="4" t="n">
        <v>0</v>
      </c>
      <c r="AV88" s="47" t="n">
        <v>0</v>
      </c>
      <c r="AW88" s="47">
        <f>$AU$88-$AT$88</f>
        <v/>
      </c>
      <c r="AX88" s="4" t="n">
        <v>345.7</v>
      </c>
      <c r="AY88" s="47" t="n">
        <v>345.7</v>
      </c>
      <c r="AZ88" s="47">
        <f>$AX$88-$AW$88</f>
        <v/>
      </c>
      <c r="BA88" s="4" t="n">
        <v>345.7</v>
      </c>
      <c r="BB88" s="4" t="n">
        <v>0</v>
      </c>
      <c r="BC88" s="4" t="n">
        <v>345.7</v>
      </c>
      <c r="BD88" s="4" t="n">
        <v>345.7</v>
      </c>
      <c r="BE88" s="47" t="n">
        <v>345.7</v>
      </c>
      <c r="BF88" s="47">
        <f>$BD$88-$BC$88</f>
        <v/>
      </c>
      <c r="BG88" s="6" t="n">
        <v>0</v>
      </c>
      <c r="BH88" s="53" t="n">
        <v>0</v>
      </c>
      <c r="BI88" s="53">
        <f>$BG$88-$BF$88</f>
        <v/>
      </c>
      <c r="BJ88" s="4" t="n">
        <v>691.4</v>
      </c>
      <c r="BK88" s="4" t="n">
        <v>691.4</v>
      </c>
      <c r="BL88" t="inlineStr">
        <is>
          <t xml:space="preserve"> Match=0 but Roth or Deferral &gt;0. </t>
        </is>
      </c>
    </row>
    <row r="89" ht="13.5" customFormat="1" customHeight="1" s="7" thickBot="1">
      <c r="A89" s="7" t="n">
        <v>83</v>
      </c>
      <c r="B89" s="8" t="inlineStr">
        <is>
          <t>Total NHCE's</t>
        </is>
      </c>
      <c r="C89" s="8" t="n"/>
      <c r="D89" s="8" t="n"/>
      <c r="E89" s="9" t="n"/>
      <c r="F89" s="37" t="n"/>
      <c r="G89" s="37" t="n"/>
      <c r="H89" s="25" t="n"/>
      <c r="I89" s="25" t="n"/>
      <c r="J89" s="9" t="n"/>
      <c r="K89" s="37" t="n"/>
      <c r="L89" s="37" t="n"/>
      <c r="M89" s="25" t="n"/>
      <c r="N89" s="25" t="n"/>
      <c r="O89" s="9" t="n"/>
      <c r="Q89" s="37" t="n"/>
      <c r="R89" s="37" t="n"/>
      <c r="S89" s="25" t="n"/>
      <c r="T89" s="25" t="n"/>
      <c r="U89" s="9" t="n"/>
      <c r="V89" s="37" t="n"/>
      <c r="W89" s="37" t="n"/>
      <c r="X89" s="25" t="n"/>
      <c r="Y89" s="25" t="n"/>
      <c r="AA89" s="38" t="n"/>
      <c r="AB89" s="38" t="n"/>
      <c r="AC89" s="26" t="n"/>
      <c r="AD89" s="26" t="n"/>
      <c r="AE89" s="8" t="n"/>
      <c r="AF89" s="8" t="n"/>
      <c r="AG89" s="10" t="n"/>
      <c r="AH89" s="8" t="n"/>
      <c r="AI89" s="8" t="n"/>
      <c r="AJ89" s="11">
        <f>SUM(AJ6:AJ88)</f>
        <v/>
      </c>
      <c r="AK89" s="12">
        <f>SUM(AK6:AK88)</f>
        <v/>
      </c>
      <c r="AL89" s="42">
        <f>SUM(AL6:AL88)</f>
        <v/>
      </c>
      <c r="AM89" s="42">
        <f>SUM(AM6:AM88)</f>
        <v/>
      </c>
      <c r="AN89" s="12">
        <f>SUM(AN6:AN88)</f>
        <v/>
      </c>
      <c r="AO89" s="30">
        <f>SUM(AO6:AO88)</f>
        <v/>
      </c>
      <c r="AP89" s="30">
        <f>SUM(AP6:AP88)</f>
        <v/>
      </c>
      <c r="AQ89" s="11">
        <f>SUM(AQ6:AQ88)</f>
        <v/>
      </c>
      <c r="AR89" s="48">
        <f>SUM(AR6:AR88)</f>
        <v/>
      </c>
      <c r="AS89" s="48">
        <f>SUM(AS6:AS88)</f>
        <v/>
      </c>
      <c r="AT89" s="11">
        <f>SUM(AT6:AT88)</f>
        <v/>
      </c>
      <c r="AU89" s="11">
        <f>SUM(AU6:AU88)</f>
        <v/>
      </c>
      <c r="AV89" s="48">
        <f>SUM(AV6:AV88)</f>
        <v/>
      </c>
      <c r="AW89" s="48">
        <f>SUM(AW6:AW88)</f>
        <v/>
      </c>
      <c r="AX89" s="11">
        <f>SUM(AX6:AX88)</f>
        <v/>
      </c>
      <c r="AY89" s="48">
        <f>SUM(AY6:AY88)</f>
        <v/>
      </c>
      <c r="AZ89" s="48">
        <f>SUM(AZ6:AZ88)</f>
        <v/>
      </c>
      <c r="BA89" s="11">
        <f>SUM(BA6:BA88)</f>
        <v/>
      </c>
      <c r="BB89" s="11">
        <f>SUM(BB6:BB88)</f>
        <v/>
      </c>
      <c r="BC89" s="11">
        <f>SUM(BC6:BC88)</f>
        <v/>
      </c>
      <c r="BD89" s="11">
        <f>SUM(BD6:BD88)</f>
        <v/>
      </c>
      <c r="BE89" s="48">
        <f>SUM(BE6:BE88)</f>
        <v/>
      </c>
      <c r="BF89" s="48">
        <f>SUM(BF6:BF88)</f>
        <v/>
      </c>
      <c r="BG89" s="13">
        <f>SUM(BG6:BG88)</f>
        <v/>
      </c>
      <c r="BH89" s="54">
        <f>SUM(BH6:BH88)</f>
        <v/>
      </c>
      <c r="BI89" s="54">
        <f>SUM(BI6:BI88)</f>
        <v/>
      </c>
      <c r="BJ89" s="11">
        <f>SUM(BJ6:BJ88)</f>
        <v/>
      </c>
      <c r="BK89" s="11">
        <f>SUM(BK6:BK88)</f>
        <v/>
      </c>
      <c r="BL89" s="7">
        <f>SUM(BL6:BL88)</f>
        <v/>
      </c>
    </row>
    <row r="90" ht="13.5" customFormat="1" customHeight="1" s="7" thickTop="1">
      <c r="A90" s="7">
        <f>SUM(HCENum + NHCENum)</f>
        <v/>
      </c>
      <c r="B90" s="8" t="inlineStr">
        <is>
          <t>Total Eligibles</t>
        </is>
      </c>
      <c r="C90" s="8" t="n"/>
      <c r="D90" s="8" t="n"/>
      <c r="E90" s="9" t="n"/>
      <c r="F90" s="37" t="n"/>
      <c r="G90" s="37" t="n"/>
      <c r="H90" s="25" t="n"/>
      <c r="I90" s="25" t="n"/>
      <c r="J90" s="9" t="n"/>
      <c r="K90" s="37" t="n"/>
      <c r="L90" s="37" t="n"/>
      <c r="M90" s="25" t="n"/>
      <c r="N90" s="25" t="n"/>
      <c r="O90" s="9" t="n"/>
      <c r="Q90" s="37" t="n"/>
      <c r="R90" s="37" t="n"/>
      <c r="S90" s="25" t="n"/>
      <c r="T90" s="25" t="n"/>
      <c r="U90" s="9" t="n"/>
      <c r="V90" s="37" t="n"/>
      <c r="W90" s="37" t="n"/>
      <c r="X90" s="25" t="n"/>
      <c r="Y90" s="25" t="n"/>
      <c r="AA90" s="38" t="n"/>
      <c r="AB90" s="38" t="n"/>
      <c r="AC90" s="26" t="n"/>
      <c r="AD90" s="26" t="n"/>
      <c r="AE90" s="8" t="n"/>
      <c r="AF90" s="8" t="n"/>
      <c r="AG90" s="10" t="n"/>
      <c r="AH90" s="8" t="n"/>
      <c r="AI90" s="8" t="n"/>
      <c r="AJ90" s="14">
        <f>SUM(HCE + HCE_NO)</f>
        <v/>
      </c>
      <c r="AK90" s="15">
        <f>SUM(HCE + HCE_NO)</f>
        <v/>
      </c>
      <c r="AL90" s="43">
        <f>SUM(HCE + HCE_NO)</f>
        <v/>
      </c>
      <c r="AM90" s="43">
        <f>SUM(HCE + HCE_NO)</f>
        <v/>
      </c>
      <c r="AN90" s="15">
        <f>SUM(HCE + HCE_NO)</f>
        <v/>
      </c>
      <c r="AO90" s="31">
        <f>SUM(HCE + HCE_NO)</f>
        <v/>
      </c>
      <c r="AP90" s="31">
        <f>SUM(HCE + HCE_NO)</f>
        <v/>
      </c>
      <c r="AQ90" s="14">
        <f>SUM(HCE + HCE_NO)</f>
        <v/>
      </c>
      <c r="AR90" s="49">
        <f>SUM(HCE + HCE_NO)</f>
        <v/>
      </c>
      <c r="AS90" s="49">
        <f>SUM(HCE + HCE_NO)</f>
        <v/>
      </c>
      <c r="AT90" s="14">
        <f>SUM(HCE + HCE_NO)</f>
        <v/>
      </c>
      <c r="AU90" s="14">
        <f>SUM(HCE + HCE_NO)</f>
        <v/>
      </c>
      <c r="AV90" s="49">
        <f>SUM(HCE + HCE_NO)</f>
        <v/>
      </c>
      <c r="AW90" s="49">
        <f>SUM(HCE + HCE_NO)</f>
        <v/>
      </c>
      <c r="AX90" s="14">
        <f>SUM(HCE + HCE_NO)</f>
        <v/>
      </c>
      <c r="AY90" s="49">
        <f>SUM(HCE + HCE_NO)</f>
        <v/>
      </c>
      <c r="AZ90" s="49">
        <f>SUM(HCE + HCE_NO)</f>
        <v/>
      </c>
      <c r="BA90" s="14">
        <f>SUM(HCE + HCE_NO)</f>
        <v/>
      </c>
      <c r="BB90" s="14">
        <f>SUM(HCE + HCE_NO)</f>
        <v/>
      </c>
      <c r="BC90" s="14">
        <f>SUM(HCE + HCE_NO)</f>
        <v/>
      </c>
      <c r="BD90" s="14">
        <f>SUM(HCE + HCE_NO)</f>
        <v/>
      </c>
      <c r="BE90" s="49">
        <f>SUM(HCE + HCE_NO)</f>
        <v/>
      </c>
      <c r="BF90" s="49">
        <f>SUM(HCE + HCE_NO)</f>
        <v/>
      </c>
      <c r="BG90" s="16">
        <f>SUM(HCE + HCE_NO)</f>
        <v/>
      </c>
      <c r="BH90" s="55">
        <f>SUM(HCE + HCE_NO)</f>
        <v/>
      </c>
      <c r="BI90" s="55">
        <f>SUM(HCE + HCE_NO)</f>
        <v/>
      </c>
      <c r="BJ90" s="14">
        <f>SUM(HCE + HCE_NO)</f>
        <v/>
      </c>
      <c r="BK90" s="14">
        <f>SUM(HCE + HCE_NO)</f>
        <v/>
      </c>
      <c r="BL90" s="7">
        <f>SUM(HCE + HCE_NO)</f>
        <v/>
      </c>
    </row>
    <row r="91">
      <c r="B91" s="1" t="n"/>
      <c r="C91" s="1" t="n"/>
      <c r="D91" s="1" t="n"/>
      <c r="E91" s="2" t="n"/>
      <c r="F91" s="36" t="n"/>
      <c r="G91" s="36" t="n"/>
      <c r="H91" s="24" t="n"/>
      <c r="I91" s="24" t="n"/>
      <c r="J91" s="2" t="n"/>
      <c r="K91" s="36" t="n"/>
      <c r="L91" s="36" t="n"/>
      <c r="M91" s="24" t="n"/>
      <c r="N91" s="24" t="n"/>
      <c r="O91" s="2" t="n"/>
      <c r="Q91" s="36" t="n"/>
      <c r="R91" s="36" t="n"/>
      <c r="S91" s="24" t="n"/>
      <c r="T91" s="24" t="n"/>
      <c r="U91" s="2" t="n"/>
      <c r="V91" s="36" t="n"/>
      <c r="W91" s="36" t="n"/>
      <c r="X91" s="24" t="n"/>
      <c r="Y91" s="24" t="n"/>
      <c r="AE91" s="1" t="n"/>
      <c r="AF91" s="1" t="n"/>
      <c r="AG91" s="3" t="n"/>
      <c r="AH91" s="1" t="n"/>
      <c r="AI91" s="1" t="n"/>
      <c r="AJ91" s="4" t="n"/>
      <c r="AK91" s="5" t="n"/>
      <c r="AL91" s="41" t="n"/>
      <c r="AM91" s="41" t="n"/>
      <c r="AN91" s="5" t="n"/>
      <c r="AO91" s="29" t="n"/>
      <c r="AP91" s="29" t="n"/>
      <c r="AQ91" s="4" t="n"/>
      <c r="AR91" s="47" t="n"/>
      <c r="AS91" s="47" t="n"/>
      <c r="AT91" s="4" t="n"/>
      <c r="AU91" s="4" t="n"/>
      <c r="AV91" s="47" t="n"/>
      <c r="AW91" s="47" t="n"/>
      <c r="AX91" s="4" t="n"/>
      <c r="AY91" s="47" t="n"/>
      <c r="AZ91" s="47" t="n"/>
      <c r="BA91" s="4" t="n"/>
      <c r="BB91" s="4" t="n"/>
      <c r="BC91" s="4" t="n"/>
      <c r="BD91" s="4" t="n"/>
      <c r="BE91" s="47" t="n"/>
      <c r="BF91" s="47" t="n"/>
      <c r="BG91" s="6" t="n"/>
      <c r="BH91" s="53" t="n"/>
      <c r="BI91" s="53" t="n"/>
      <c r="BJ91" s="4" t="n"/>
      <c r="BK91" s="4" t="n"/>
    </row>
    <row r="92">
      <c r="A92" t="n">
        <v>1</v>
      </c>
      <c r="B92" s="1" t="n"/>
      <c r="C92" s="1" t="n"/>
      <c r="D92" s="1" t="inlineStr"/>
      <c r="E92" s="2" t="n">
        <v>33641</v>
      </c>
      <c r="F92" s="36" t="n">
        <v>33641</v>
      </c>
      <c r="G92" s="36" t="b">
        <v>1</v>
      </c>
      <c r="H92" s="24" t="inlineStr">
        <is>
          <t>No Match Found</t>
        </is>
      </c>
      <c r="I92" s="24" t="b">
        <v>0</v>
      </c>
      <c r="J92" s="2" t="n">
        <v>45327</v>
      </c>
      <c r="K92" s="36" t="n">
        <v>45327</v>
      </c>
      <c r="L92" s="36" t="b">
        <v>1</v>
      </c>
      <c r="M92" s="24" t="inlineStr">
        <is>
          <t>No Match Found</t>
        </is>
      </c>
      <c r="N92" s="24" t="b">
        <v>0</v>
      </c>
      <c r="Q92" s="40" t="n">
        <v>45444</v>
      </c>
      <c r="R92" s="39" t="b">
        <v>0</v>
      </c>
      <c r="S92" s="27" t="inlineStr">
        <is>
          <t>No Match Found</t>
        </is>
      </c>
      <c r="T92" s="27" t="b">
        <v>0</v>
      </c>
      <c r="U92" s="2" t="n">
        <v>45443</v>
      </c>
      <c r="V92" s="36" t="n">
        <v>45443</v>
      </c>
      <c r="W92" s="36" t="b">
        <v>1</v>
      </c>
      <c r="X92" s="24" t="inlineStr">
        <is>
          <t>No Match Found</t>
        </is>
      </c>
      <c r="Y92" s="24" t="b">
        <v>0</v>
      </c>
      <c r="AB92" s="39" t="b">
        <v>1</v>
      </c>
      <c r="AC92" s="27" t="inlineStr">
        <is>
          <t>No Match Found</t>
        </is>
      </c>
      <c r="AD92" s="27" t="b">
        <v>0</v>
      </c>
      <c r="AE92" s="1" t="inlineStr">
        <is>
          <t>I</t>
        </is>
      </c>
      <c r="AF92" s="1" t="inlineStr">
        <is>
          <t>N</t>
        </is>
      </c>
      <c r="AG92" s="3" t="n">
        <v>0</v>
      </c>
      <c r="AH92" s="1" t="inlineStr">
        <is>
          <t>N</t>
        </is>
      </c>
      <c r="AI92" s="1" t="inlineStr">
        <is>
          <t>N</t>
        </is>
      </c>
      <c r="AJ92" s="4" t="n">
        <v>0</v>
      </c>
      <c r="AK92" s="5" t="n">
        <v>582</v>
      </c>
      <c r="AL92" s="41" t="n">
        <v>581.5</v>
      </c>
      <c r="AM92" s="41">
        <f>IF(AND(ISNUMBER($AK$92), ISNUMBER($AJ$92)), IF(($AK$92 - $AJ$92)&lt;=1, 0, ($AK$92 - $AJ$92)), "")</f>
        <v/>
      </c>
      <c r="AN92" s="5" t="n">
        <v>0</v>
      </c>
      <c r="AO92" s="29" t="inlineStr">
        <is>
          <t>No Match Found</t>
        </is>
      </c>
      <c r="AP92" s="29" t="b">
        <v>1</v>
      </c>
      <c r="AQ92" s="4" t="n">
        <v>12793</v>
      </c>
      <c r="AR92" s="47" t="n">
        <v>12793</v>
      </c>
      <c r="AS92" s="47">
        <f>$AQ$92-$AP$92</f>
        <v/>
      </c>
      <c r="AT92" s="4" t="n">
        <v>12793</v>
      </c>
      <c r="AU92" s="4" t="n">
        <v>0</v>
      </c>
      <c r="AV92" s="47" t="n">
        <v>0</v>
      </c>
      <c r="AW92" s="47">
        <f>$AU$92-$AT$92</f>
        <v/>
      </c>
      <c r="AX92" s="4" t="n">
        <v>0</v>
      </c>
      <c r="AY92" s="47" t="n">
        <v>0</v>
      </c>
      <c r="AZ92" s="47">
        <f>$AX$92-$AW$92</f>
        <v/>
      </c>
      <c r="BA92" s="4" t="n">
        <v>0</v>
      </c>
      <c r="BB92" s="4" t="n">
        <v>0</v>
      </c>
      <c r="BC92" s="4" t="n">
        <v>0</v>
      </c>
      <c r="BD92" s="4" t="n">
        <v>0</v>
      </c>
      <c r="BE92" s="47" t="n">
        <v>0</v>
      </c>
      <c r="BF92" s="47">
        <f>$BD$92-$BC$92</f>
        <v/>
      </c>
      <c r="BG92" s="6" t="n">
        <v>0</v>
      </c>
      <c r="BH92" s="53" t="n">
        <v>0</v>
      </c>
      <c r="BI92" s="53">
        <f>$BG$92-$BF$92</f>
        <v/>
      </c>
      <c r="BJ92" s="4" t="n">
        <v>0</v>
      </c>
      <c r="BK92" s="4" t="n">
        <v>0</v>
      </c>
    </row>
    <row r="93">
      <c r="A93" t="n">
        <v>2</v>
      </c>
      <c r="B93" s="1" t="n"/>
      <c r="C93" s="1" t="n"/>
      <c r="D93" s="1" t="inlineStr"/>
      <c r="E93" s="2" t="n">
        <v>28540</v>
      </c>
      <c r="F93" s="36" t="n">
        <v>28540</v>
      </c>
      <c r="G93" s="36" t="b">
        <v>1</v>
      </c>
      <c r="H93" s="24" t="inlineStr">
        <is>
          <t>No Match Found</t>
        </is>
      </c>
      <c r="I93" s="24" t="b">
        <v>0</v>
      </c>
      <c r="J93" s="2" t="n">
        <v>45369</v>
      </c>
      <c r="K93" s="36" t="n">
        <v>45369</v>
      </c>
      <c r="L93" s="36" t="b">
        <v>1</v>
      </c>
      <c r="M93" s="24" t="inlineStr">
        <is>
          <t>No Match Found</t>
        </is>
      </c>
      <c r="N93" s="24" t="b">
        <v>0</v>
      </c>
      <c r="R93" s="39" t="b">
        <v>1</v>
      </c>
      <c r="S93" s="27" t="inlineStr">
        <is>
          <t>No Match Found</t>
        </is>
      </c>
      <c r="T93" s="27" t="b">
        <v>0</v>
      </c>
      <c r="U93" s="2" t="n">
        <v>45407</v>
      </c>
      <c r="V93" s="36" t="n">
        <v>45407</v>
      </c>
      <c r="W93" s="36" t="b">
        <v>1</v>
      </c>
      <c r="X93" s="24" t="inlineStr">
        <is>
          <t>No Match Found</t>
        </is>
      </c>
      <c r="Y93" s="24" t="b">
        <v>0</v>
      </c>
      <c r="AB93" s="39" t="b">
        <v>1</v>
      </c>
      <c r="AC93" s="27" t="inlineStr">
        <is>
          <t>No Match Found</t>
        </is>
      </c>
      <c r="AD93" s="27" t="b">
        <v>0</v>
      </c>
      <c r="AE93" s="1" t="inlineStr">
        <is>
          <t>I</t>
        </is>
      </c>
      <c r="AF93" s="1" t="inlineStr">
        <is>
          <t>N</t>
        </is>
      </c>
      <c r="AG93" s="3" t="n">
        <v>0</v>
      </c>
      <c r="AH93" s="1" t="inlineStr">
        <is>
          <t>N</t>
        </is>
      </c>
      <c r="AI93" s="1" t="inlineStr">
        <is>
          <t>N</t>
        </is>
      </c>
      <c r="AJ93" s="4" t="n">
        <v>0</v>
      </c>
      <c r="AK93" s="5" t="n">
        <v>224</v>
      </c>
      <c r="AL93" s="41" t="n">
        <v>224.41</v>
      </c>
      <c r="AM93" s="41">
        <f>IF(AND(ISNUMBER($AK$93), ISNUMBER($AJ$93)), IF(($AK$93 - $AJ$93)&lt;=1, 0, ($AK$93 - $AJ$93)), "")</f>
        <v/>
      </c>
      <c r="AN93" s="5" t="n">
        <v>0</v>
      </c>
      <c r="AO93" s="29" t="inlineStr">
        <is>
          <t>No Match Found</t>
        </is>
      </c>
      <c r="AP93" s="29" t="b">
        <v>1</v>
      </c>
      <c r="AQ93" s="4" t="n">
        <v>3741.26</v>
      </c>
      <c r="AR93" s="47" t="n">
        <v>3741.26</v>
      </c>
      <c r="AS93" s="47">
        <f>$AQ$93-$AP$93</f>
        <v/>
      </c>
      <c r="AT93" s="4" t="n">
        <v>3741.26</v>
      </c>
      <c r="AU93" s="4" t="n">
        <v>0</v>
      </c>
      <c r="AV93" s="47" t="n">
        <v>0</v>
      </c>
      <c r="AW93" s="47">
        <f>$AU$93-$AT$93</f>
        <v/>
      </c>
      <c r="AX93" s="4" t="n">
        <v>0</v>
      </c>
      <c r="AY93" s="47" t="n">
        <v>0</v>
      </c>
      <c r="AZ93" s="47">
        <f>$AX$93-$AW$93</f>
        <v/>
      </c>
      <c r="BA93" s="4" t="n">
        <v>0</v>
      </c>
      <c r="BB93" s="4" t="n">
        <v>0</v>
      </c>
      <c r="BC93" s="4" t="n">
        <v>0</v>
      </c>
      <c r="BD93" s="4" t="n">
        <v>0</v>
      </c>
      <c r="BE93" s="47" t="n">
        <v>0</v>
      </c>
      <c r="BF93" s="47">
        <f>$BD$93-$BC$93</f>
        <v/>
      </c>
      <c r="BG93" s="6" t="n">
        <v>0</v>
      </c>
      <c r="BH93" s="53" t="n">
        <v>0</v>
      </c>
      <c r="BI93" s="53">
        <f>$BG$93-$BF$93</f>
        <v/>
      </c>
      <c r="BJ93" s="4" t="n">
        <v>0</v>
      </c>
      <c r="BK93" s="4" t="n">
        <v>0</v>
      </c>
    </row>
    <row r="94">
      <c r="A94" t="n">
        <v>3</v>
      </c>
      <c r="B94" s="1" t="n"/>
      <c r="C94" s="1" t="n"/>
      <c r="D94" s="1" t="inlineStr"/>
      <c r="E94" s="2" t="n">
        <v>34712</v>
      </c>
      <c r="F94" s="36" t="n">
        <v>34712</v>
      </c>
      <c r="G94" s="36" t="b">
        <v>1</v>
      </c>
      <c r="H94" s="24" t="inlineStr">
        <is>
          <t>No Match Found</t>
        </is>
      </c>
      <c r="I94" s="24" t="b">
        <v>0</v>
      </c>
      <c r="J94" s="2" t="n">
        <v>45579</v>
      </c>
      <c r="K94" s="36" t="n">
        <v>45579</v>
      </c>
      <c r="L94" s="36" t="b">
        <v>1</v>
      </c>
      <c r="M94" s="24" t="inlineStr">
        <is>
          <t>No Match Found</t>
        </is>
      </c>
      <c r="N94" s="24" t="b">
        <v>0</v>
      </c>
      <c r="R94" s="39" t="b">
        <v>1</v>
      </c>
      <c r="S94" s="27" t="inlineStr">
        <is>
          <t>No Match Found</t>
        </is>
      </c>
      <c r="T94" s="27" t="b">
        <v>0</v>
      </c>
      <c r="W94" s="39" t="b">
        <v>1</v>
      </c>
      <c r="X94" s="27" t="inlineStr">
        <is>
          <t>No Match Found</t>
        </is>
      </c>
      <c r="Y94" s="27" t="b">
        <v>0</v>
      </c>
      <c r="AB94" s="39" t="b">
        <v>1</v>
      </c>
      <c r="AC94" s="27" t="inlineStr">
        <is>
          <t>No Match Found</t>
        </is>
      </c>
      <c r="AD94" s="27" t="b">
        <v>0</v>
      </c>
      <c r="AE94" s="1" t="inlineStr">
        <is>
          <t>I</t>
        </is>
      </c>
      <c r="AF94" s="1" t="inlineStr">
        <is>
          <t>N</t>
        </is>
      </c>
      <c r="AG94" s="3" t="n">
        <v>0</v>
      </c>
      <c r="AH94" s="1" t="inlineStr">
        <is>
          <t>N</t>
        </is>
      </c>
      <c r="AI94" s="1" t="inlineStr">
        <is>
          <t>N</t>
        </is>
      </c>
      <c r="AJ94" s="4" t="n">
        <v>0</v>
      </c>
      <c r="AK94" s="5" t="n">
        <v>385</v>
      </c>
      <c r="AL94" s="41" t="n">
        <v>384.76</v>
      </c>
      <c r="AM94" s="41">
        <f>IF(AND(ISNUMBER($AK$94), ISNUMBER($AJ$94)), IF(($AK$94 - $AJ$94)&lt;=1, 0, ($AK$94 - $AJ$94)), "")</f>
        <v/>
      </c>
      <c r="AN94" s="5" t="n">
        <v>0</v>
      </c>
      <c r="AO94" s="29" t="inlineStr">
        <is>
          <t>No Match Found</t>
        </is>
      </c>
      <c r="AP94" s="29" t="b">
        <v>1</v>
      </c>
      <c r="AQ94" s="4" t="n">
        <v>6574.14</v>
      </c>
      <c r="AR94" s="47" t="n">
        <v>6574.14</v>
      </c>
      <c r="AS94" s="47">
        <f>$AQ$94-$AP$94</f>
        <v/>
      </c>
      <c r="AT94" s="4" t="n">
        <v>6574.14</v>
      </c>
      <c r="AU94" s="4" t="n">
        <v>0</v>
      </c>
      <c r="AV94" s="47" t="n">
        <v>0</v>
      </c>
      <c r="AW94" s="47">
        <f>$AU$94-$AT$94</f>
        <v/>
      </c>
      <c r="AX94" s="4" t="n">
        <v>0</v>
      </c>
      <c r="AY94" s="47" t="n">
        <v>0</v>
      </c>
      <c r="AZ94" s="47">
        <f>$AX$94-$AW$94</f>
        <v/>
      </c>
      <c r="BA94" s="4" t="n">
        <v>0</v>
      </c>
      <c r="BB94" s="4" t="n">
        <v>0</v>
      </c>
      <c r="BC94" s="4" t="n">
        <v>0</v>
      </c>
      <c r="BD94" s="4" t="n">
        <v>0</v>
      </c>
      <c r="BE94" s="47" t="n">
        <v>0</v>
      </c>
      <c r="BF94" s="47">
        <f>$BD$94-$BC$94</f>
        <v/>
      </c>
      <c r="BG94" s="6" t="n">
        <v>0</v>
      </c>
      <c r="BH94" s="53" t="n">
        <v>0</v>
      </c>
      <c r="BI94" s="53">
        <f>$BG$94-$BF$94</f>
        <v/>
      </c>
      <c r="BJ94" s="4" t="n">
        <v>0</v>
      </c>
      <c r="BK94" s="4" t="n">
        <v>0</v>
      </c>
    </row>
    <row r="95">
      <c r="A95" t="n">
        <v>4</v>
      </c>
      <c r="B95" s="1" t="n"/>
      <c r="C95" s="1" t="n"/>
      <c r="D95" s="1" t="inlineStr"/>
      <c r="E95" s="2" t="n">
        <v>28424</v>
      </c>
      <c r="F95" s="36" t="n">
        <v>28424</v>
      </c>
      <c r="G95" s="36" t="b">
        <v>1</v>
      </c>
      <c r="H95" s="24" t="inlineStr">
        <is>
          <t>No Match Found</t>
        </is>
      </c>
      <c r="I95" s="24" t="b">
        <v>0</v>
      </c>
      <c r="J95" s="2" t="n">
        <v>45593</v>
      </c>
      <c r="K95" s="36" t="n">
        <v>45593</v>
      </c>
      <c r="L95" s="36" t="b">
        <v>1</v>
      </c>
      <c r="M95" s="24" t="inlineStr">
        <is>
          <t>No Match Found</t>
        </is>
      </c>
      <c r="N95" s="24" t="b">
        <v>0</v>
      </c>
      <c r="R95" s="39" t="b">
        <v>1</v>
      </c>
      <c r="S95" s="27" t="inlineStr">
        <is>
          <t>No Match Found</t>
        </is>
      </c>
      <c r="T95" s="27" t="b">
        <v>0</v>
      </c>
      <c r="U95" s="2" t="n">
        <v>45603</v>
      </c>
      <c r="V95" s="36" t="n">
        <v>45603</v>
      </c>
      <c r="W95" s="36" t="b">
        <v>1</v>
      </c>
      <c r="X95" s="24" t="inlineStr">
        <is>
          <t>No Match Found</t>
        </is>
      </c>
      <c r="Y95" s="24" t="b">
        <v>0</v>
      </c>
      <c r="AB95" s="39" t="b">
        <v>1</v>
      </c>
      <c r="AC95" s="27" t="inlineStr">
        <is>
          <t>No Match Found</t>
        </is>
      </c>
      <c r="AD95" s="27" t="b">
        <v>0</v>
      </c>
      <c r="AE95" s="1" t="inlineStr">
        <is>
          <t>I</t>
        </is>
      </c>
      <c r="AF95" s="1" t="inlineStr">
        <is>
          <t>N</t>
        </is>
      </c>
      <c r="AG95" s="3" t="n">
        <v>0</v>
      </c>
      <c r="AH95" s="1" t="inlineStr">
        <is>
          <t>N</t>
        </is>
      </c>
      <c r="AI95" s="1" t="inlineStr">
        <is>
          <t>N</t>
        </is>
      </c>
      <c r="AJ95" s="4" t="n">
        <v>0</v>
      </c>
      <c r="AK95" s="5" t="n">
        <v>63</v>
      </c>
      <c r="AL95" s="41" t="n">
        <v>63.37</v>
      </c>
      <c r="AM95" s="41">
        <f>IF(AND(ISNUMBER($AK$95), ISNUMBER($AJ$95)), IF(($AK$95 - $AJ$95)&lt;=1, 0, ($AK$95 - $AJ$95)), "")</f>
        <v/>
      </c>
      <c r="AN95" s="5" t="n">
        <v>0</v>
      </c>
      <c r="AO95" s="29" t="inlineStr">
        <is>
          <t>No Match Found</t>
        </is>
      </c>
      <c r="AP95" s="29" t="b">
        <v>1</v>
      </c>
      <c r="AQ95" s="4" t="n">
        <v>1055.11</v>
      </c>
      <c r="AR95" s="47" t="n">
        <v>1055.11</v>
      </c>
      <c r="AS95" s="47">
        <f>$AQ$95-$AP$95</f>
        <v/>
      </c>
      <c r="AT95" s="4" t="n">
        <v>1055.11</v>
      </c>
      <c r="AU95" s="4" t="n">
        <v>0</v>
      </c>
      <c r="AV95" s="47" t="n">
        <v>0</v>
      </c>
      <c r="AW95" s="47">
        <f>$AU$95-$AT$95</f>
        <v/>
      </c>
      <c r="AX95" s="4" t="n">
        <v>0</v>
      </c>
      <c r="AY95" s="47" t="n">
        <v>0</v>
      </c>
      <c r="AZ95" s="47">
        <f>$AX$95-$AW$95</f>
        <v/>
      </c>
      <c r="BA95" s="4" t="n">
        <v>0</v>
      </c>
      <c r="BB95" s="4" t="n">
        <v>0</v>
      </c>
      <c r="BC95" s="4" t="n">
        <v>0</v>
      </c>
      <c r="BD95" s="4" t="n">
        <v>0</v>
      </c>
      <c r="BE95" s="47" t="n">
        <v>0</v>
      </c>
      <c r="BF95" s="47">
        <f>$BD$95-$BC$95</f>
        <v/>
      </c>
      <c r="BG95" s="6" t="n">
        <v>0</v>
      </c>
      <c r="BH95" s="53" t="n">
        <v>0</v>
      </c>
      <c r="BI95" s="53">
        <f>$BG$95-$BF$95</f>
        <v/>
      </c>
      <c r="BJ95" s="4" t="n">
        <v>0</v>
      </c>
      <c r="BK95" s="4" t="n">
        <v>0</v>
      </c>
    </row>
    <row r="96">
      <c r="A96" t="n">
        <v>5</v>
      </c>
      <c r="B96" s="1" t="n"/>
      <c r="C96" s="1" t="n"/>
      <c r="D96" s="1" t="inlineStr"/>
      <c r="E96" s="2" t="n">
        <v>33181</v>
      </c>
      <c r="F96" s="36" t="n">
        <v>33181</v>
      </c>
      <c r="G96" s="36" t="b">
        <v>1</v>
      </c>
      <c r="H96" s="24" t="inlineStr">
        <is>
          <t>No Match Found</t>
        </is>
      </c>
      <c r="I96" s="24" t="b">
        <v>0</v>
      </c>
      <c r="J96" s="2" t="n">
        <v>45608</v>
      </c>
      <c r="K96" s="36" t="n">
        <v>45608</v>
      </c>
      <c r="L96" s="36" t="b">
        <v>1</v>
      </c>
      <c r="M96" s="24" t="inlineStr">
        <is>
          <t>No Match Found</t>
        </is>
      </c>
      <c r="N96" s="24" t="b">
        <v>0</v>
      </c>
      <c r="R96" s="39" t="b">
        <v>1</v>
      </c>
      <c r="S96" s="27" t="inlineStr">
        <is>
          <t>No Match Found</t>
        </is>
      </c>
      <c r="T96" s="27" t="b">
        <v>0</v>
      </c>
      <c r="V96" s="40" t="n">
        <v>45665</v>
      </c>
      <c r="W96" s="39" t="b">
        <v>0</v>
      </c>
      <c r="X96" s="27" t="inlineStr">
        <is>
          <t>No Match Found</t>
        </is>
      </c>
      <c r="Y96" s="27" t="b">
        <v>0</v>
      </c>
      <c r="AB96" s="39" t="b">
        <v>1</v>
      </c>
      <c r="AC96" s="27" t="inlineStr">
        <is>
          <t>No Match Found</t>
        </is>
      </c>
      <c r="AD96" s="27" t="b">
        <v>0</v>
      </c>
      <c r="AE96" s="1" t="inlineStr">
        <is>
          <t>I</t>
        </is>
      </c>
      <c r="AF96" s="1" t="inlineStr">
        <is>
          <t>N</t>
        </is>
      </c>
      <c r="AG96" s="3" t="n">
        <v>0</v>
      </c>
      <c r="AH96" s="1" t="inlineStr">
        <is>
          <t>N</t>
        </is>
      </c>
      <c r="AI96" s="1" t="inlineStr">
        <is>
          <t>N</t>
        </is>
      </c>
      <c r="AJ96" s="4" t="n">
        <v>0</v>
      </c>
      <c r="AK96" s="5" t="n">
        <v>207</v>
      </c>
      <c r="AL96" s="41" t="n">
        <v>207.38</v>
      </c>
      <c r="AM96" s="41">
        <f>IF(AND(ISNUMBER($AK$96), ISNUMBER($AJ$96)), IF(($AK$96 - $AJ$96)&lt;=1, 0, ($AK$96 - $AJ$96)), "")</f>
        <v/>
      </c>
      <c r="AN96" s="5" t="n">
        <v>0</v>
      </c>
      <c r="AO96" s="29" t="inlineStr">
        <is>
          <t>No Match Found</t>
        </is>
      </c>
      <c r="AP96" s="29" t="b">
        <v>1</v>
      </c>
      <c r="AQ96" s="4" t="n">
        <v>3469.37</v>
      </c>
      <c r="AR96" s="47" t="n">
        <v>3469.37</v>
      </c>
      <c r="AS96" s="47">
        <f>$AQ$96-$AP$96</f>
        <v/>
      </c>
      <c r="AT96" s="4" t="n">
        <v>3469.37</v>
      </c>
      <c r="AU96" s="4" t="n">
        <v>0</v>
      </c>
      <c r="AV96" s="47" t="n">
        <v>0</v>
      </c>
      <c r="AW96" s="47">
        <f>$AU$96-$AT$96</f>
        <v/>
      </c>
      <c r="AX96" s="4" t="n">
        <v>0</v>
      </c>
      <c r="AY96" s="47" t="n">
        <v>0</v>
      </c>
      <c r="AZ96" s="47">
        <f>$AX$96-$AW$96</f>
        <v/>
      </c>
      <c r="BA96" s="4" t="n">
        <v>0</v>
      </c>
      <c r="BB96" s="4" t="n">
        <v>0</v>
      </c>
      <c r="BC96" s="4" t="n">
        <v>0</v>
      </c>
      <c r="BD96" s="4" t="n">
        <v>0</v>
      </c>
      <c r="BE96" s="47" t="n">
        <v>0</v>
      </c>
      <c r="BF96" s="47">
        <f>$BD$96-$BC$96</f>
        <v/>
      </c>
      <c r="BG96" s="6" t="n">
        <v>0</v>
      </c>
      <c r="BH96" s="53" t="n">
        <v>0</v>
      </c>
      <c r="BI96" s="53">
        <f>$BG$96-$BF$96</f>
        <v/>
      </c>
      <c r="BJ96" s="4" t="n">
        <v>0</v>
      </c>
      <c r="BK96" s="4" t="n">
        <v>0</v>
      </c>
    </row>
    <row r="97">
      <c r="A97" t="n">
        <v>6</v>
      </c>
      <c r="B97" s="1" t="n"/>
      <c r="C97" s="1" t="n"/>
      <c r="D97" s="1" t="inlineStr"/>
      <c r="E97" s="2" t="n">
        <v>38051</v>
      </c>
      <c r="F97" s="36" t="n">
        <v>38051</v>
      </c>
      <c r="G97" s="36" t="b">
        <v>1</v>
      </c>
      <c r="H97" s="24" t="inlineStr">
        <is>
          <t>No Match Found</t>
        </is>
      </c>
      <c r="I97" s="24" t="b">
        <v>0</v>
      </c>
      <c r="J97" s="2" t="n">
        <v>45621</v>
      </c>
      <c r="K97" s="36" t="n">
        <v>45621</v>
      </c>
      <c r="L97" s="36" t="b">
        <v>1</v>
      </c>
      <c r="M97" s="24" t="inlineStr">
        <is>
          <t>No Match Found</t>
        </is>
      </c>
      <c r="N97" s="24" t="b">
        <v>0</v>
      </c>
      <c r="R97" s="39" t="b">
        <v>1</v>
      </c>
      <c r="S97" s="27" t="inlineStr">
        <is>
          <t>No Match Found</t>
        </is>
      </c>
      <c r="T97" s="27" t="b">
        <v>0</v>
      </c>
      <c r="W97" s="39" t="b">
        <v>1</v>
      </c>
      <c r="X97" s="27" t="inlineStr">
        <is>
          <t>No Match Found</t>
        </is>
      </c>
      <c r="Y97" s="27" t="b">
        <v>0</v>
      </c>
      <c r="AB97" s="39" t="b">
        <v>1</v>
      </c>
      <c r="AC97" s="27" t="inlineStr">
        <is>
          <t>No Match Found</t>
        </is>
      </c>
      <c r="AD97" s="27" t="b">
        <v>0</v>
      </c>
      <c r="AE97" s="1" t="inlineStr">
        <is>
          <t>I</t>
        </is>
      </c>
      <c r="AF97" s="1" t="inlineStr">
        <is>
          <t>N</t>
        </is>
      </c>
      <c r="AG97" s="3" t="n">
        <v>0</v>
      </c>
      <c r="AH97" s="1" t="inlineStr">
        <is>
          <t>N</t>
        </is>
      </c>
      <c r="AI97" s="1" t="inlineStr">
        <is>
          <t>N</t>
        </is>
      </c>
      <c r="AJ97" s="4" t="n">
        <v>0</v>
      </c>
      <c r="AK97" s="5" t="n">
        <v>148</v>
      </c>
      <c r="AL97" s="41" t="n">
        <v>148.16</v>
      </c>
      <c r="AM97" s="41">
        <f>IF(AND(ISNUMBER($AK$97), ISNUMBER($AJ$97)), IF(($AK$97 - $AJ$97)&lt;=1, 0, ($AK$97 - $AJ$97)), "")</f>
        <v/>
      </c>
      <c r="AN97" s="5" t="n">
        <v>0</v>
      </c>
      <c r="AO97" s="29" t="inlineStr">
        <is>
          <t>No Match Found</t>
        </is>
      </c>
      <c r="AP97" s="29" t="b">
        <v>1</v>
      </c>
      <c r="AQ97" s="4" t="n">
        <v>2505.49</v>
      </c>
      <c r="AR97" s="47" t="n">
        <v>2505.49</v>
      </c>
      <c r="AS97" s="47">
        <f>$AQ$97-$AP$97</f>
        <v/>
      </c>
      <c r="AT97" s="4" t="n">
        <v>2505.49</v>
      </c>
      <c r="AU97" s="4" t="n">
        <v>0</v>
      </c>
      <c r="AV97" s="47" t="n">
        <v>0</v>
      </c>
      <c r="AW97" s="47">
        <f>$AU$97-$AT$97</f>
        <v/>
      </c>
      <c r="AX97" s="4" t="n">
        <v>0</v>
      </c>
      <c r="AY97" s="47" t="n">
        <v>0</v>
      </c>
      <c r="AZ97" s="47">
        <f>$AX$97-$AW$97</f>
        <v/>
      </c>
      <c r="BA97" s="4" t="n">
        <v>0</v>
      </c>
      <c r="BB97" s="4" t="n">
        <v>0</v>
      </c>
      <c r="BC97" s="4" t="n">
        <v>0</v>
      </c>
      <c r="BD97" s="4" t="n">
        <v>0</v>
      </c>
      <c r="BE97" s="47" t="n">
        <v>0</v>
      </c>
      <c r="BF97" s="47">
        <f>$BD$97-$BC$97</f>
        <v/>
      </c>
      <c r="BG97" s="6" t="n">
        <v>0</v>
      </c>
      <c r="BH97" s="53" t="n">
        <v>0</v>
      </c>
      <c r="BI97" s="53">
        <f>$BG$97-$BF$97</f>
        <v/>
      </c>
      <c r="BJ97" s="4" t="n">
        <v>0</v>
      </c>
      <c r="BK97" s="4" t="n">
        <v>0</v>
      </c>
    </row>
    <row r="98">
      <c r="A98" t="n">
        <v>7</v>
      </c>
      <c r="B98" s="1" t="n"/>
      <c r="C98" s="1" t="n"/>
      <c r="D98" s="1" t="inlineStr"/>
      <c r="E98" s="2" t="n">
        <v>37859</v>
      </c>
      <c r="F98" s="36" t="n">
        <v>37859</v>
      </c>
      <c r="G98" s="36" t="b">
        <v>1</v>
      </c>
      <c r="H98" s="24" t="inlineStr">
        <is>
          <t>No Match Found</t>
        </is>
      </c>
      <c r="I98" s="24" t="b">
        <v>0</v>
      </c>
      <c r="J98" s="2" t="n">
        <v>45621</v>
      </c>
      <c r="K98" s="36" t="n">
        <v>45621</v>
      </c>
      <c r="L98" s="36" t="b">
        <v>1</v>
      </c>
      <c r="M98" s="24" t="inlineStr">
        <is>
          <t>No Match Found</t>
        </is>
      </c>
      <c r="N98" s="24" t="b">
        <v>0</v>
      </c>
      <c r="R98" s="39" t="b">
        <v>1</v>
      </c>
      <c r="S98" s="27" t="inlineStr">
        <is>
          <t>No Match Found</t>
        </is>
      </c>
      <c r="T98" s="27" t="b">
        <v>0</v>
      </c>
      <c r="W98" s="39" t="b">
        <v>1</v>
      </c>
      <c r="X98" s="27" t="inlineStr">
        <is>
          <t>No Match Found</t>
        </is>
      </c>
      <c r="Y98" s="27" t="b">
        <v>0</v>
      </c>
      <c r="AB98" s="39" t="b">
        <v>1</v>
      </c>
      <c r="AC98" s="27" t="inlineStr">
        <is>
          <t>No Match Found</t>
        </is>
      </c>
      <c r="AD98" s="27" t="b">
        <v>0</v>
      </c>
      <c r="AE98" s="1" t="inlineStr">
        <is>
          <t>I</t>
        </is>
      </c>
      <c r="AF98" s="1" t="inlineStr">
        <is>
          <t>N</t>
        </is>
      </c>
      <c r="AG98" s="3" t="n">
        <v>0</v>
      </c>
      <c r="AH98" s="1" t="inlineStr">
        <is>
          <t>N</t>
        </is>
      </c>
      <c r="AI98" s="1" t="inlineStr">
        <is>
          <t>N</t>
        </is>
      </c>
      <c r="AJ98" s="4" t="n">
        <v>0</v>
      </c>
      <c r="AK98" s="5" t="n">
        <v>147</v>
      </c>
      <c r="AL98" s="41" t="n">
        <v>147.22</v>
      </c>
      <c r="AM98" s="41">
        <f>IF(AND(ISNUMBER($AK$98), ISNUMBER($AJ$98)), IF(($AK$98 - $AJ$98)&lt;=1, 0, ($AK$98 - $AJ$98)), "")</f>
        <v/>
      </c>
      <c r="AN98" s="5" t="n">
        <v>0</v>
      </c>
      <c r="AO98" s="29" t="inlineStr">
        <is>
          <t>No Match Found</t>
        </is>
      </c>
      <c r="AP98" s="29" t="b">
        <v>1</v>
      </c>
      <c r="AQ98" s="4" t="n">
        <v>2481.6</v>
      </c>
      <c r="AR98" s="47" t="n">
        <v>2481.6</v>
      </c>
      <c r="AS98" s="47">
        <f>$AQ$98-$AP$98</f>
        <v/>
      </c>
      <c r="AT98" s="4" t="n">
        <v>2481.6</v>
      </c>
      <c r="AU98" s="4" t="n">
        <v>0</v>
      </c>
      <c r="AV98" s="47" t="n">
        <v>0</v>
      </c>
      <c r="AW98" s="47">
        <f>$AU$98-$AT$98</f>
        <v/>
      </c>
      <c r="AX98" s="4" t="n">
        <v>0</v>
      </c>
      <c r="AY98" s="47" t="n">
        <v>0</v>
      </c>
      <c r="AZ98" s="47">
        <f>$AX$98-$AW$98</f>
        <v/>
      </c>
      <c r="BA98" s="4" t="n">
        <v>0</v>
      </c>
      <c r="BB98" s="4" t="n">
        <v>0</v>
      </c>
      <c r="BC98" s="4" t="n">
        <v>0</v>
      </c>
      <c r="BD98" s="4" t="n">
        <v>0</v>
      </c>
      <c r="BE98" s="47" t="n">
        <v>0</v>
      </c>
      <c r="BF98" s="47">
        <f>$BD$98-$BC$98</f>
        <v/>
      </c>
      <c r="BG98" s="6" t="n">
        <v>0</v>
      </c>
      <c r="BH98" s="53" t="n">
        <v>0</v>
      </c>
      <c r="BI98" s="53">
        <f>$BG$98-$BF$98</f>
        <v/>
      </c>
      <c r="BJ98" s="4" t="n">
        <v>0</v>
      </c>
      <c r="BK98" s="4" t="n">
        <v>0</v>
      </c>
    </row>
    <row r="99">
      <c r="A99" t="n">
        <v>8</v>
      </c>
      <c r="B99" s="1" t="n"/>
      <c r="C99" s="1" t="n"/>
      <c r="D99" s="1" t="inlineStr"/>
      <c r="E99" s="2" t="n">
        <v>29126</v>
      </c>
      <c r="F99" s="36" t="n">
        <v>29126</v>
      </c>
      <c r="G99" s="36" t="b">
        <v>1</v>
      </c>
      <c r="H99" s="24" t="inlineStr">
        <is>
          <t>No Match Found</t>
        </is>
      </c>
      <c r="I99" s="24" t="b">
        <v>0</v>
      </c>
      <c r="J99" s="2" t="n">
        <v>45635</v>
      </c>
      <c r="K99" s="36" t="n">
        <v>45635</v>
      </c>
      <c r="L99" s="36" t="b">
        <v>1</v>
      </c>
      <c r="M99" s="24" t="inlineStr">
        <is>
          <t>No Match Found</t>
        </is>
      </c>
      <c r="N99" s="24" t="b">
        <v>0</v>
      </c>
      <c r="R99" s="39" t="b">
        <v>1</v>
      </c>
      <c r="S99" s="27" t="inlineStr">
        <is>
          <t>No Match Found</t>
        </is>
      </c>
      <c r="T99" s="27" t="b">
        <v>0</v>
      </c>
      <c r="W99" s="39" t="b">
        <v>1</v>
      </c>
      <c r="X99" s="27" t="inlineStr">
        <is>
          <t>No Match Found</t>
        </is>
      </c>
      <c r="Y99" s="27" t="b">
        <v>0</v>
      </c>
      <c r="AB99" s="39" t="b">
        <v>1</v>
      </c>
      <c r="AC99" s="27" t="inlineStr">
        <is>
          <t>No Match Found</t>
        </is>
      </c>
      <c r="AD99" s="27" t="b">
        <v>0</v>
      </c>
      <c r="AE99" s="1" t="inlineStr">
        <is>
          <t>I</t>
        </is>
      </c>
      <c r="AF99" s="1" t="inlineStr">
        <is>
          <t>N</t>
        </is>
      </c>
      <c r="AG99" s="3" t="n">
        <v>0</v>
      </c>
      <c r="AH99" s="1" t="inlineStr">
        <is>
          <t>N</t>
        </is>
      </c>
      <c r="AI99" s="1" t="inlineStr">
        <is>
          <t>N</t>
        </is>
      </c>
      <c r="AJ99" s="4" t="n">
        <v>0</v>
      </c>
      <c r="AK99" s="5" t="n">
        <v>80</v>
      </c>
      <c r="AL99" s="41" t="n">
        <v>80.15000000000001</v>
      </c>
      <c r="AM99" s="41">
        <f>IF(AND(ISNUMBER($AK$99), ISNUMBER($AJ$99)), IF(($AK$99 - $AJ$99)&lt;=1, 0, ($AK$99 - $AJ$99)), "")</f>
        <v/>
      </c>
      <c r="AN99" s="5" t="n">
        <v>0</v>
      </c>
      <c r="AO99" s="29" t="inlineStr">
        <is>
          <t>No Match Found</t>
        </is>
      </c>
      <c r="AP99" s="29" t="b">
        <v>1</v>
      </c>
      <c r="AQ99" s="4" t="n">
        <v>1933.8</v>
      </c>
      <c r="AR99" s="47" t="n">
        <v>1933.8</v>
      </c>
      <c r="AS99" s="47">
        <f>$AQ$99-$AP$99</f>
        <v/>
      </c>
      <c r="AT99" s="4" t="n">
        <v>1933.8</v>
      </c>
      <c r="AU99" s="4" t="n">
        <v>0</v>
      </c>
      <c r="AV99" s="47" t="n">
        <v>0</v>
      </c>
      <c r="AW99" s="47">
        <f>$AU$99-$AT$99</f>
        <v/>
      </c>
      <c r="AX99" s="4" t="n">
        <v>0</v>
      </c>
      <c r="AY99" s="47" t="n">
        <v>0</v>
      </c>
      <c r="AZ99" s="47">
        <f>$AX$99-$AW$99</f>
        <v/>
      </c>
      <c r="BA99" s="4" t="n">
        <v>0</v>
      </c>
      <c r="BB99" s="4" t="n">
        <v>0</v>
      </c>
      <c r="BC99" s="4" t="n">
        <v>0</v>
      </c>
      <c r="BD99" s="4" t="n">
        <v>0</v>
      </c>
      <c r="BE99" s="47" t="n">
        <v>0</v>
      </c>
      <c r="BF99" s="47">
        <f>$BD$99-$BC$99</f>
        <v/>
      </c>
      <c r="BG99" s="6" t="n">
        <v>0</v>
      </c>
      <c r="BH99" s="53" t="n">
        <v>0</v>
      </c>
      <c r="BI99" s="53">
        <f>$BG$99-$BF$99</f>
        <v/>
      </c>
      <c r="BJ99" s="4" t="n">
        <v>0</v>
      </c>
      <c r="BK99" s="4" t="n">
        <v>0</v>
      </c>
    </row>
    <row r="100">
      <c r="A100" t="n">
        <v>9</v>
      </c>
      <c r="B100" s="1" t="n"/>
      <c r="C100" s="1" t="n"/>
      <c r="D100" s="1" t="inlineStr"/>
      <c r="E100" s="2" t="n">
        <v>37351</v>
      </c>
      <c r="F100" s="36" t="n">
        <v>37351</v>
      </c>
      <c r="G100" s="36" t="b">
        <v>1</v>
      </c>
      <c r="H100" s="24" t="inlineStr">
        <is>
          <t>No Match Found</t>
        </is>
      </c>
      <c r="I100" s="24" t="b">
        <v>0</v>
      </c>
      <c r="J100" s="2" t="n">
        <v>45635</v>
      </c>
      <c r="K100" s="36" t="n">
        <v>45635</v>
      </c>
      <c r="L100" s="36" t="b">
        <v>1</v>
      </c>
      <c r="M100" s="24" t="inlineStr">
        <is>
          <t>No Match Found</t>
        </is>
      </c>
      <c r="N100" s="24" t="b">
        <v>0</v>
      </c>
      <c r="R100" s="39" t="b">
        <v>1</v>
      </c>
      <c r="S100" s="27" t="inlineStr">
        <is>
          <t>No Match Found</t>
        </is>
      </c>
      <c r="T100" s="27" t="b">
        <v>0</v>
      </c>
      <c r="W100" s="39" t="b">
        <v>1</v>
      </c>
      <c r="X100" s="27" t="inlineStr">
        <is>
          <t>No Match Found</t>
        </is>
      </c>
      <c r="Y100" s="27" t="b">
        <v>0</v>
      </c>
      <c r="AB100" s="39" t="b">
        <v>1</v>
      </c>
      <c r="AC100" s="27" t="inlineStr">
        <is>
          <t>No Match Found</t>
        </is>
      </c>
      <c r="AD100" s="27" t="b">
        <v>0</v>
      </c>
      <c r="AE100" s="1" t="inlineStr">
        <is>
          <t>I</t>
        </is>
      </c>
      <c r="AF100" s="1" t="inlineStr">
        <is>
          <t>N</t>
        </is>
      </c>
      <c r="AG100" s="3" t="n">
        <v>0</v>
      </c>
      <c r="AH100" s="1" t="inlineStr">
        <is>
          <t>N</t>
        </is>
      </c>
      <c r="AI100" s="1" t="inlineStr">
        <is>
          <t>N</t>
        </is>
      </c>
      <c r="AJ100" s="4" t="n">
        <v>0</v>
      </c>
      <c r="AK100" s="5" t="n">
        <v>82</v>
      </c>
      <c r="AL100" s="41" t="n">
        <v>81.83</v>
      </c>
      <c r="AM100" s="41">
        <f>IF(AND(ISNUMBER($AK$100), ISNUMBER($AJ$100)), IF(($AK$100 - $AJ$100)&lt;=1, 0, ($AK$100 - $AJ$100)), "")</f>
        <v/>
      </c>
      <c r="AN100" s="5" t="n">
        <v>0</v>
      </c>
      <c r="AO100" s="29" t="inlineStr">
        <is>
          <t>No Match Found</t>
        </is>
      </c>
      <c r="AP100" s="29" t="b">
        <v>1</v>
      </c>
      <c r="AQ100" s="4" t="n">
        <v>1377.7</v>
      </c>
      <c r="AR100" s="47" t="n">
        <v>1377.7</v>
      </c>
      <c r="AS100" s="47">
        <f>$AQ$100-$AP$100</f>
        <v/>
      </c>
      <c r="AT100" s="4" t="n">
        <v>1377.7</v>
      </c>
      <c r="AU100" s="4" t="n">
        <v>0</v>
      </c>
      <c r="AV100" s="47" t="n">
        <v>0</v>
      </c>
      <c r="AW100" s="47">
        <f>$AU$100-$AT$100</f>
        <v/>
      </c>
      <c r="AX100" s="4" t="n">
        <v>0</v>
      </c>
      <c r="AY100" s="47" t="n">
        <v>0</v>
      </c>
      <c r="AZ100" s="47">
        <f>$AX$100-$AW$100</f>
        <v/>
      </c>
      <c r="BA100" s="4" t="n">
        <v>0</v>
      </c>
      <c r="BB100" s="4" t="n">
        <v>0</v>
      </c>
      <c r="BC100" s="4" t="n">
        <v>0</v>
      </c>
      <c r="BD100" s="4" t="n">
        <v>0</v>
      </c>
      <c r="BE100" s="47" t="n">
        <v>0</v>
      </c>
      <c r="BF100" s="47">
        <f>$BD$100-$BC$100</f>
        <v/>
      </c>
      <c r="BG100" s="6" t="n">
        <v>0</v>
      </c>
      <c r="BH100" s="53" t="n">
        <v>0</v>
      </c>
      <c r="BI100" s="53">
        <f>$BG$100-$BF$100</f>
        <v/>
      </c>
      <c r="BJ100" s="4" t="n">
        <v>0</v>
      </c>
      <c r="BK100" s="4" t="n">
        <v>0</v>
      </c>
    </row>
    <row r="101">
      <c r="A101" t="n">
        <v>10</v>
      </c>
      <c r="B101" s="1" t="n"/>
      <c r="C101" s="1" t="n"/>
      <c r="D101" s="1" t="inlineStr"/>
      <c r="E101" s="2" t="n">
        <v>37235</v>
      </c>
      <c r="F101" s="36" t="n">
        <v>37235</v>
      </c>
      <c r="G101" s="36" t="b">
        <v>1</v>
      </c>
      <c r="H101" s="24" t="inlineStr">
        <is>
          <t>No Match Found</t>
        </is>
      </c>
      <c r="I101" s="24" t="b">
        <v>0</v>
      </c>
      <c r="J101" s="2" t="n">
        <v>45635</v>
      </c>
      <c r="K101" s="36" t="n">
        <v>45635</v>
      </c>
      <c r="L101" s="36" t="b">
        <v>1</v>
      </c>
      <c r="M101" s="24" t="inlineStr">
        <is>
          <t>No Match Found</t>
        </is>
      </c>
      <c r="N101" s="24" t="b">
        <v>0</v>
      </c>
      <c r="R101" s="39" t="b">
        <v>1</v>
      </c>
      <c r="S101" s="27" t="inlineStr">
        <is>
          <t>No Match Found</t>
        </is>
      </c>
      <c r="T101" s="27" t="b">
        <v>0</v>
      </c>
      <c r="W101" s="39" t="b">
        <v>1</v>
      </c>
      <c r="X101" s="27" t="inlineStr">
        <is>
          <t>No Match Found</t>
        </is>
      </c>
      <c r="Y101" s="27" t="b">
        <v>0</v>
      </c>
      <c r="AB101" s="39" t="b">
        <v>1</v>
      </c>
      <c r="AC101" s="27" t="inlineStr">
        <is>
          <t>No Match Found</t>
        </is>
      </c>
      <c r="AD101" s="27" t="b">
        <v>0</v>
      </c>
      <c r="AE101" s="1" t="inlineStr">
        <is>
          <t>I</t>
        </is>
      </c>
      <c r="AF101" s="1" t="inlineStr">
        <is>
          <t>N</t>
        </is>
      </c>
      <c r="AG101" s="3" t="n">
        <v>0</v>
      </c>
      <c r="AH101" s="1" t="inlineStr">
        <is>
          <t>N</t>
        </is>
      </c>
      <c r="AI101" s="1" t="inlineStr">
        <is>
          <t>N</t>
        </is>
      </c>
      <c r="AJ101" s="4" t="n">
        <v>0</v>
      </c>
      <c r="AK101" s="5" t="n">
        <v>80</v>
      </c>
      <c r="AL101" s="41" t="n">
        <v>80.27</v>
      </c>
      <c r="AM101" s="41">
        <f>IF(AND(ISNUMBER($AK$101), ISNUMBER($AJ$101)), IF(($AK$101 - $AJ$101)&lt;=1, 0, ($AK$101 - $AJ$101)), "")</f>
        <v/>
      </c>
      <c r="AN101" s="5" t="n">
        <v>0</v>
      </c>
      <c r="AO101" s="29" t="inlineStr">
        <is>
          <t>No Match Found</t>
        </is>
      </c>
      <c r="AP101" s="29" t="b">
        <v>1</v>
      </c>
      <c r="AQ101" s="4" t="n">
        <v>1339.83</v>
      </c>
      <c r="AR101" s="47" t="n">
        <v>1339.83</v>
      </c>
      <c r="AS101" s="47">
        <f>$AQ$101-$AP$101</f>
        <v/>
      </c>
      <c r="AT101" s="4" t="n">
        <v>1339.83</v>
      </c>
      <c r="AU101" s="4" t="n">
        <v>0</v>
      </c>
      <c r="AV101" s="47" t="n">
        <v>0</v>
      </c>
      <c r="AW101" s="47">
        <f>$AU$101-$AT$101</f>
        <v/>
      </c>
      <c r="AX101" s="4" t="n">
        <v>0</v>
      </c>
      <c r="AY101" s="47" t="n">
        <v>0</v>
      </c>
      <c r="AZ101" s="47">
        <f>$AX$101-$AW$101</f>
        <v/>
      </c>
      <c r="BA101" s="4" t="n">
        <v>0</v>
      </c>
      <c r="BB101" s="4" t="n">
        <v>0</v>
      </c>
      <c r="BC101" s="4" t="n">
        <v>0</v>
      </c>
      <c r="BD101" s="4" t="n">
        <v>0</v>
      </c>
      <c r="BE101" s="47" t="n">
        <v>0</v>
      </c>
      <c r="BF101" s="47">
        <f>$BD$101-$BC$101</f>
        <v/>
      </c>
      <c r="BG101" s="6" t="n">
        <v>0</v>
      </c>
      <c r="BH101" s="53" t="n">
        <v>0</v>
      </c>
      <c r="BI101" s="53">
        <f>$BG$101-$BF$101</f>
        <v/>
      </c>
      <c r="BJ101" s="4" t="n">
        <v>0</v>
      </c>
      <c r="BK101" s="4" t="n">
        <v>0</v>
      </c>
    </row>
    <row r="102">
      <c r="A102" t="n">
        <v>11</v>
      </c>
      <c r="B102" s="1" t="n"/>
      <c r="C102" s="1" t="n"/>
      <c r="D102" s="1" t="inlineStr"/>
      <c r="E102" s="2" t="n">
        <v>33477</v>
      </c>
      <c r="F102" s="36" t="n">
        <v>33477</v>
      </c>
      <c r="G102" s="36" t="b">
        <v>1</v>
      </c>
      <c r="H102" s="24" t="n">
        <v>33477</v>
      </c>
      <c r="I102" s="24" t="b">
        <v>1</v>
      </c>
      <c r="J102" s="2" t="n">
        <v>45005</v>
      </c>
      <c r="K102" s="36" t="n">
        <v>45005</v>
      </c>
      <c r="L102" s="36" t="b">
        <v>1</v>
      </c>
      <c r="M102" s="24" t="n">
        <v>45005</v>
      </c>
      <c r="N102" s="24" t="b">
        <v>1</v>
      </c>
      <c r="O102" s="2" t="n">
        <v>45005</v>
      </c>
      <c r="P102" t="inlineStr">
        <is>
          <t>Processed</t>
        </is>
      </c>
      <c r="Q102" s="36" t="n">
        <v>44531</v>
      </c>
      <c r="R102" s="36" t="b">
        <v>0</v>
      </c>
      <c r="S102" s="24" t="n">
        <v>45005</v>
      </c>
      <c r="T102" s="24" t="b">
        <v>1</v>
      </c>
      <c r="U102" s="2" t="n">
        <v>45293</v>
      </c>
      <c r="V102" s="36" t="n">
        <v>45293</v>
      </c>
      <c r="W102" s="36" t="b">
        <v>1</v>
      </c>
      <c r="X102" s="24" t="n">
        <v>45293</v>
      </c>
      <c r="Y102" s="24" t="b">
        <v>1</v>
      </c>
      <c r="AB102" s="39" t="b">
        <v>1</v>
      </c>
      <c r="AD102" s="27" t="b">
        <v>1</v>
      </c>
      <c r="AE102" s="1" t="inlineStr">
        <is>
          <t>X</t>
        </is>
      </c>
      <c r="AF102" s="1" t="inlineStr">
        <is>
          <t>N</t>
        </is>
      </c>
      <c r="AG102" s="3" t="n">
        <v>0</v>
      </c>
      <c r="AH102" s="1" t="inlineStr">
        <is>
          <t>N</t>
        </is>
      </c>
      <c r="AI102" s="1" t="inlineStr">
        <is>
          <t>N</t>
        </is>
      </c>
      <c r="AJ102" s="4" t="n">
        <v>2635.39</v>
      </c>
      <c r="AK102" s="5" t="n">
        <v>0</v>
      </c>
      <c r="AL102" s="41" t="n">
        <v>0</v>
      </c>
      <c r="AM102" s="41">
        <f>IF(AND(ISNUMBER($AK$102), ISNUMBER($AJ$102)), IF(($AK$102 - $AJ$102)&lt;=1, 0, ($AK$102 - $AJ$102)), "")</f>
        <v/>
      </c>
      <c r="AN102" s="5" t="n">
        <v>2</v>
      </c>
      <c r="AO102" s="29" t="n">
        <v>2</v>
      </c>
      <c r="AP102" s="29" t="b">
        <v>1</v>
      </c>
      <c r="AQ102" s="4" t="n">
        <v>0</v>
      </c>
      <c r="AR102" s="47" t="n">
        <v>0</v>
      </c>
      <c r="AS102" s="47">
        <f>$AQ$102-$AP$102</f>
        <v/>
      </c>
      <c r="AT102" s="4" t="n">
        <v>0</v>
      </c>
      <c r="AU102" s="4" t="n">
        <v>0</v>
      </c>
      <c r="AV102" s="47" t="n">
        <v>0</v>
      </c>
      <c r="AW102" s="47">
        <f>$AU$102-$AT$102</f>
        <v/>
      </c>
      <c r="AX102" s="4" t="n">
        <v>0</v>
      </c>
      <c r="AY102" s="47" t="n">
        <v>0</v>
      </c>
      <c r="AZ102" s="47">
        <f>$AX$102-$AW$102</f>
        <v/>
      </c>
      <c r="BA102" s="4" t="n">
        <v>0</v>
      </c>
      <c r="BB102" s="4" t="n">
        <v>0</v>
      </c>
      <c r="BC102" s="4" t="n">
        <v>0</v>
      </c>
      <c r="BD102" s="4" t="n">
        <v>0</v>
      </c>
      <c r="BE102" s="47" t="n">
        <v>0</v>
      </c>
      <c r="BF102" s="47">
        <f>$BD$102-$BC$102</f>
        <v/>
      </c>
      <c r="BG102" s="6" t="n">
        <v>0</v>
      </c>
      <c r="BH102" s="53" t="n">
        <v>0</v>
      </c>
      <c r="BI102" s="53">
        <f>$BG$102-$BF$102</f>
        <v/>
      </c>
      <c r="BJ102" s="4" t="n">
        <v>0</v>
      </c>
      <c r="BK102" s="4" t="n">
        <v>0</v>
      </c>
      <c r="BL102" t="inlineStr">
        <is>
          <t xml:space="preserve"> Termination =2024 but Comp and Hrs =0. </t>
        </is>
      </c>
    </row>
    <row r="103" ht="13.5" customFormat="1" customHeight="1" s="7" thickBot="1">
      <c r="A103" s="7" t="n">
        <v>11</v>
      </c>
      <c r="B103" s="8" t="inlineStr">
        <is>
          <t>Total Non-Eligibles with Service</t>
        </is>
      </c>
      <c r="C103" s="8" t="n"/>
      <c r="D103" s="8" t="n"/>
      <c r="E103" s="9" t="n"/>
      <c r="F103" s="37" t="n"/>
      <c r="G103" s="37" t="n"/>
      <c r="H103" s="25" t="n"/>
      <c r="I103" s="25" t="n"/>
      <c r="J103" s="9" t="n"/>
      <c r="K103" s="37" t="n"/>
      <c r="L103" s="37" t="n"/>
      <c r="M103" s="25" t="n"/>
      <c r="N103" s="25" t="n"/>
      <c r="O103" s="9" t="n"/>
      <c r="Q103" s="37" t="n"/>
      <c r="R103" s="37" t="n"/>
      <c r="S103" s="25" t="n"/>
      <c r="T103" s="25" t="n"/>
      <c r="U103" s="9" t="n"/>
      <c r="V103" s="37" t="n"/>
      <c r="W103" s="37" t="n"/>
      <c r="X103" s="25" t="n"/>
      <c r="Y103" s="25" t="n"/>
      <c r="AA103" s="38" t="n"/>
      <c r="AB103" s="38" t="n"/>
      <c r="AC103" s="26" t="n"/>
      <c r="AD103" s="26" t="n"/>
      <c r="AE103" s="8" t="n"/>
      <c r="AF103" s="8" t="n"/>
      <c r="AG103" s="10" t="n"/>
      <c r="AH103" s="8" t="n"/>
      <c r="AI103" s="8" t="n"/>
      <c r="AJ103" s="11">
        <f>SUM(AJ92:AJ102)</f>
        <v/>
      </c>
      <c r="AK103" s="12">
        <f>SUM(AK92:AK102)</f>
        <v/>
      </c>
      <c r="AL103" s="42">
        <f>SUM(AL92:AL102)</f>
        <v/>
      </c>
      <c r="AM103" s="42">
        <f>SUM(AM92:AM102)</f>
        <v/>
      </c>
      <c r="AN103" s="12">
        <f>SUM(AN92:AN102)</f>
        <v/>
      </c>
      <c r="AO103" s="30">
        <f>SUM(AO92:AO102)</f>
        <v/>
      </c>
      <c r="AP103" s="30">
        <f>SUM(AP92:AP102)</f>
        <v/>
      </c>
      <c r="AQ103" s="11">
        <f>SUM(AQ92:AQ102)</f>
        <v/>
      </c>
      <c r="AR103" s="48">
        <f>SUM(AR92:AR102)</f>
        <v/>
      </c>
      <c r="AS103" s="48">
        <f>SUM(AS92:AS102)</f>
        <v/>
      </c>
      <c r="AT103" s="11">
        <f>SUM(AT92:AT102)</f>
        <v/>
      </c>
      <c r="AU103" s="11">
        <f>SUM(AU92:AU102)</f>
        <v/>
      </c>
      <c r="AV103" s="48">
        <f>SUM(AV92:AV102)</f>
        <v/>
      </c>
      <c r="AW103" s="48">
        <f>SUM(AW92:AW102)</f>
        <v/>
      </c>
      <c r="AX103" s="11">
        <f>SUM(AX92:AX102)</f>
        <v/>
      </c>
      <c r="AY103" s="48">
        <f>SUM(AY92:AY102)</f>
        <v/>
      </c>
      <c r="AZ103" s="48">
        <f>SUM(AZ92:AZ102)</f>
        <v/>
      </c>
      <c r="BA103" s="11">
        <f>SUM(BA92:BA102)</f>
        <v/>
      </c>
      <c r="BB103" s="11">
        <f>SUM(BB92:BB102)</f>
        <v/>
      </c>
      <c r="BC103" s="11">
        <f>SUM(BC92:BC102)</f>
        <v/>
      </c>
      <c r="BD103" s="11">
        <f>SUM(BD92:BD102)</f>
        <v/>
      </c>
      <c r="BE103" s="48">
        <f>SUM(BE92:BE102)</f>
        <v/>
      </c>
      <c r="BF103" s="48">
        <f>SUM(BF92:BF102)</f>
        <v/>
      </c>
      <c r="BG103" s="13">
        <f>SUM(BG92:BG102)</f>
        <v/>
      </c>
      <c r="BH103" s="54">
        <f>SUM(BH92:BH102)</f>
        <v/>
      </c>
      <c r="BI103" s="54">
        <f>SUM(BI92:BI102)</f>
        <v/>
      </c>
      <c r="BJ103" s="11">
        <f>SUM(BJ92:BJ102)</f>
        <v/>
      </c>
      <c r="BK103" s="11">
        <f>SUM(BK92:BK102)</f>
        <v/>
      </c>
      <c r="BL103" s="7">
        <f>SUM(BL92:BL102)</f>
        <v/>
      </c>
    </row>
    <row r="104" ht="13.5" customFormat="1" customHeight="1" s="7" thickTop="1">
      <c r="B104" s="8" t="n"/>
      <c r="C104" s="8" t="n"/>
      <c r="D104" s="8" t="n"/>
      <c r="E104" s="9" t="n"/>
      <c r="F104" s="37" t="n"/>
      <c r="G104" s="37" t="n"/>
      <c r="H104" s="25" t="n"/>
      <c r="I104" s="25" t="n"/>
      <c r="J104" s="9" t="n"/>
      <c r="K104" s="37" t="n"/>
      <c r="L104" s="37" t="n"/>
      <c r="M104" s="25" t="n"/>
      <c r="N104" s="25" t="n"/>
      <c r="O104" s="9" t="n"/>
      <c r="Q104" s="37" t="n"/>
      <c r="R104" s="37" t="n"/>
      <c r="S104" s="25" t="n"/>
      <c r="T104" s="25" t="n"/>
      <c r="U104" s="9" t="n"/>
      <c r="V104" s="37" t="n"/>
      <c r="W104" s="37" t="n"/>
      <c r="X104" s="25" t="n"/>
      <c r="Y104" s="25" t="n"/>
      <c r="AA104" s="38" t="n"/>
      <c r="AB104" s="38" t="n"/>
      <c r="AC104" s="26" t="n"/>
      <c r="AD104" s="26" t="n"/>
      <c r="AE104" s="8" t="n"/>
      <c r="AF104" s="8" t="n"/>
      <c r="AG104" s="10" t="n"/>
      <c r="AH104" s="8" t="n"/>
      <c r="AI104" s="8" t="n"/>
      <c r="AJ104" s="14" t="n"/>
      <c r="AK104" s="15" t="n"/>
      <c r="AL104" s="43" t="n"/>
      <c r="AM104" s="43" t="n"/>
      <c r="AN104" s="15" t="n"/>
      <c r="AO104" s="31" t="n"/>
      <c r="AP104" s="31" t="n"/>
      <c r="AQ104" s="14" t="n"/>
      <c r="AR104" s="49" t="n"/>
      <c r="AS104" s="49" t="n"/>
      <c r="AT104" s="14" t="n"/>
      <c r="AU104" s="14" t="n"/>
      <c r="AV104" s="49" t="n"/>
      <c r="AW104" s="49" t="n"/>
      <c r="AX104" s="14" t="n"/>
      <c r="AY104" s="49" t="n"/>
      <c r="AZ104" s="49" t="n"/>
      <c r="BA104" s="14" t="n"/>
      <c r="BB104" s="14" t="n"/>
      <c r="BC104" s="14" t="n"/>
      <c r="BD104" s="14" t="n"/>
      <c r="BE104" s="49" t="n"/>
      <c r="BF104" s="49" t="n"/>
      <c r="BG104" s="16" t="n"/>
      <c r="BH104" s="55" t="n"/>
      <c r="BI104" s="55" t="n"/>
      <c r="BJ104" s="14" t="n"/>
      <c r="BK104" s="14" t="n"/>
    </row>
    <row r="105" ht="12.95" customFormat="1" customHeight="1" s="7">
      <c r="A105" s="7">
        <f>SUM(HCENum + NHCENum + NESNum)</f>
        <v/>
      </c>
      <c r="B105" s="8" t="inlineStr">
        <is>
          <t>Total Workforce</t>
        </is>
      </c>
      <c r="C105" s="8" t="n"/>
      <c r="D105" s="8" t="n"/>
      <c r="E105" s="9" t="n"/>
      <c r="F105" s="37" t="n"/>
      <c r="G105" s="37" t="n"/>
      <c r="H105" s="25" t="n"/>
      <c r="I105" s="25" t="n"/>
      <c r="J105" s="9" t="n"/>
      <c r="K105" s="37" t="n"/>
      <c r="L105" s="37" t="n"/>
      <c r="M105" s="25" t="n"/>
      <c r="N105" s="25" t="n"/>
      <c r="O105" s="9" t="n"/>
      <c r="Q105" s="37" t="n"/>
      <c r="R105" s="37" t="n"/>
      <c r="S105" s="25" t="n"/>
      <c r="T105" s="25" t="n"/>
      <c r="U105" s="9" t="n"/>
      <c r="V105" s="37" t="n"/>
      <c r="W105" s="37" t="n"/>
      <c r="X105" s="25" t="n"/>
      <c r="Y105" s="25" t="n"/>
      <c r="AA105" s="38" t="n"/>
      <c r="AB105" s="38" t="n"/>
      <c r="AC105" s="26" t="n"/>
      <c r="AD105" s="26" t="n"/>
      <c r="AE105" s="8" t="n"/>
      <c r="AF105" s="8" t="n"/>
      <c r="AG105" s="10" t="n"/>
      <c r="AH105" s="8" t="n"/>
      <c r="AI105" s="8" t="n"/>
      <c r="AJ105" s="14" t="n"/>
      <c r="AK105" s="15" t="n"/>
      <c r="AL105" s="43" t="n"/>
      <c r="AM105" s="43" t="n"/>
      <c r="AN105" s="15" t="n"/>
      <c r="AO105" s="31" t="n"/>
      <c r="AP105" s="31" t="n"/>
      <c r="AQ105" s="14" t="n"/>
      <c r="AR105" s="49" t="n"/>
      <c r="AS105" s="49" t="n"/>
      <c r="AT105" s="14" t="n"/>
      <c r="AU105" s="14" t="n"/>
      <c r="AV105" s="49" t="n"/>
      <c r="AW105" s="49" t="n"/>
      <c r="AX105" s="14" t="n"/>
      <c r="AY105" s="49" t="n"/>
      <c r="AZ105" s="49" t="n"/>
      <c r="BA105" s="14" t="n"/>
      <c r="BB105" s="14" t="n"/>
      <c r="BC105" s="14" t="n"/>
      <c r="BD105" s="14" t="n"/>
      <c r="BE105" s="49" t="n"/>
      <c r="BF105" s="49" t="n"/>
      <c r="BG105" s="16" t="n"/>
      <c r="BH105" s="55" t="n"/>
      <c r="BI105" s="55" t="n"/>
      <c r="BJ105" s="14" t="n"/>
      <c r="BK105" s="14" t="n"/>
    </row>
    <row r="106">
      <c r="B106" s="1" t="n"/>
      <c r="C106" s="1" t="n"/>
      <c r="D106" s="1" t="n"/>
      <c r="E106" s="2" t="n"/>
      <c r="F106" s="36" t="n"/>
      <c r="G106" s="36" t="n"/>
      <c r="H106" s="24" t="n"/>
      <c r="I106" s="24" t="n"/>
      <c r="J106" s="2" t="n"/>
      <c r="K106" s="36" t="n"/>
      <c r="L106" s="36" t="n"/>
      <c r="M106" s="24" t="n"/>
      <c r="N106" s="24" t="n"/>
      <c r="O106" s="2" t="n"/>
      <c r="Q106" s="36" t="n"/>
      <c r="R106" s="36" t="n"/>
      <c r="S106" s="24" t="n"/>
      <c r="T106" s="24" t="n"/>
      <c r="U106" s="2" t="n"/>
      <c r="V106" s="36" t="n"/>
      <c r="W106" s="36" t="n"/>
      <c r="X106" s="24" t="n"/>
      <c r="Y106" s="24" t="n"/>
      <c r="AE106" s="1" t="n"/>
      <c r="AF106" s="1" t="n"/>
      <c r="AG106" s="3" t="n"/>
      <c r="AH106" s="1" t="n"/>
      <c r="AI106" s="1" t="n"/>
      <c r="AJ106" s="4" t="n"/>
      <c r="AK106" s="5" t="n"/>
      <c r="AL106" s="41" t="n"/>
      <c r="AM106" s="41" t="n"/>
      <c r="AN106" s="5" t="n"/>
      <c r="AO106" s="29" t="n"/>
      <c r="AP106" s="29" t="n"/>
      <c r="AQ106" s="4" t="n"/>
      <c r="AR106" s="47" t="n"/>
      <c r="AS106" s="47" t="n"/>
      <c r="AT106" s="4" t="n"/>
      <c r="AU106" s="4" t="n"/>
      <c r="AV106" s="47" t="n"/>
      <c r="AW106" s="47" t="n"/>
      <c r="AX106" s="4" t="n"/>
      <c r="AY106" s="47" t="n"/>
      <c r="AZ106" s="47" t="n"/>
      <c r="BA106" s="4" t="n"/>
      <c r="BB106" s="4" t="n"/>
      <c r="BC106" s="4" t="n"/>
      <c r="BD106" s="4" t="n"/>
      <c r="BE106" s="47" t="n"/>
      <c r="BF106" s="47" t="n"/>
      <c r="BG106" s="6" t="n"/>
      <c r="BH106" s="53" t="n"/>
      <c r="BI106" s="53" t="n"/>
      <c r="BJ106" s="4" t="n"/>
      <c r="BK106" s="4" t="n"/>
    </row>
    <row r="107">
      <c r="A107" t="n">
        <v>1</v>
      </c>
      <c r="B107" s="1" t="n"/>
      <c r="C107" s="1" t="n"/>
      <c r="D107" s="1" t="inlineStr"/>
      <c r="E107" s="2" t="n">
        <v>25609</v>
      </c>
      <c r="F107" s="36" t="inlineStr">
        <is>
          <t>No Match Found</t>
        </is>
      </c>
      <c r="G107" s="36" t="inlineStr">
        <is>
          <t>NA</t>
        </is>
      </c>
      <c r="H107" s="24" t="n">
        <v>25609</v>
      </c>
      <c r="I107" s="24" t="b">
        <v>1</v>
      </c>
      <c r="J107" s="2" t="n">
        <v>41275</v>
      </c>
      <c r="K107" s="36" t="inlineStr">
        <is>
          <t>No Match Found</t>
        </is>
      </c>
      <c r="L107" s="36" t="inlineStr">
        <is>
          <t>NA</t>
        </is>
      </c>
      <c r="M107" s="24" t="n">
        <v>41275</v>
      </c>
      <c r="N107" s="24" t="b">
        <v>1</v>
      </c>
      <c r="Q107" s="39" t="inlineStr">
        <is>
          <t>No Match Found</t>
        </is>
      </c>
      <c r="R107" s="39" t="inlineStr">
        <is>
          <t>NA</t>
        </is>
      </c>
      <c r="T107" s="27" t="b">
        <v>1</v>
      </c>
      <c r="U107" s="2" t="n">
        <v>41411</v>
      </c>
      <c r="V107" s="36" t="inlineStr">
        <is>
          <t>No Match Found</t>
        </is>
      </c>
      <c r="W107" s="36" t="inlineStr">
        <is>
          <t>NA</t>
        </is>
      </c>
      <c r="X107" s="24" t="n">
        <v>41411</v>
      </c>
      <c r="Y107" s="24" t="b">
        <v>1</v>
      </c>
      <c r="AA107" s="39" t="inlineStr">
        <is>
          <t>No Match Found</t>
        </is>
      </c>
      <c r="AB107" s="39" t="inlineStr">
        <is>
          <t>NA</t>
        </is>
      </c>
      <c r="AD107" s="27" t="b">
        <v>1</v>
      </c>
      <c r="AE107" s="1" t="inlineStr">
        <is>
          <t>I</t>
        </is>
      </c>
      <c r="AF107" s="1" t="inlineStr">
        <is>
          <t>N</t>
        </is>
      </c>
      <c r="AG107" s="3" t="n">
        <v>0</v>
      </c>
      <c r="AH107" s="1" t="inlineStr">
        <is>
          <t>N</t>
        </is>
      </c>
      <c r="AI107" s="1" t="inlineStr">
        <is>
          <t>N</t>
        </is>
      </c>
      <c r="AJ107" s="4" t="n">
        <v>0</v>
      </c>
      <c r="AK107" s="5" t="n">
        <v>0</v>
      </c>
      <c r="AL107" s="41" t="inlineStr">
        <is>
          <t>No Match Found</t>
        </is>
      </c>
      <c r="AM107" s="41" t="inlineStr">
        <is>
          <t>NA</t>
        </is>
      </c>
      <c r="AN107" s="5" t="n">
        <v>0</v>
      </c>
      <c r="AO107" s="29" t="n">
        <v>0</v>
      </c>
      <c r="AP107" s="29" t="b">
        <v>1</v>
      </c>
      <c r="AQ107" s="4" t="n">
        <v>0</v>
      </c>
      <c r="AR107" s="47" t="inlineStr">
        <is>
          <t>No Match Found</t>
        </is>
      </c>
      <c r="AS107" s="47" t="inlineStr">
        <is>
          <t>NA</t>
        </is>
      </c>
      <c r="AT107" s="4" t="n">
        <v>0</v>
      </c>
      <c r="AU107" s="4" t="n">
        <v>0</v>
      </c>
      <c r="AV107" s="47" t="inlineStr">
        <is>
          <t>No Match Found</t>
        </is>
      </c>
      <c r="AW107" s="47" t="inlineStr">
        <is>
          <t>NA</t>
        </is>
      </c>
      <c r="AX107" s="4" t="n">
        <v>0</v>
      </c>
      <c r="AY107" s="47" t="inlineStr">
        <is>
          <t>No Match Found</t>
        </is>
      </c>
      <c r="AZ107" s="47" t="inlineStr">
        <is>
          <t>NA</t>
        </is>
      </c>
      <c r="BA107" s="4" t="n">
        <v>0</v>
      </c>
      <c r="BB107" s="4" t="n">
        <v>0</v>
      </c>
      <c r="BC107" s="4" t="n">
        <v>0</v>
      </c>
      <c r="BD107" s="4" t="n">
        <v>0</v>
      </c>
      <c r="BE107" s="47" t="inlineStr">
        <is>
          <t>No Match Found</t>
        </is>
      </c>
      <c r="BF107" s="47" t="inlineStr">
        <is>
          <t>NA</t>
        </is>
      </c>
      <c r="BG107" s="6" t="n">
        <v>0</v>
      </c>
      <c r="BH107" s="53" t="inlineStr">
        <is>
          <t>No Match Found</t>
        </is>
      </c>
      <c r="BI107" s="53" t="inlineStr">
        <is>
          <t>NA</t>
        </is>
      </c>
      <c r="BJ107" s="4" t="n">
        <v>0</v>
      </c>
      <c r="BK107" s="4" t="n">
        <v>0</v>
      </c>
    </row>
    <row r="108">
      <c r="A108" t="n">
        <v>2</v>
      </c>
      <c r="B108" s="1" t="n"/>
      <c r="C108" s="1" t="n"/>
      <c r="D108" s="1" t="inlineStr"/>
      <c r="E108" s="2" t="n">
        <v>32026</v>
      </c>
      <c r="F108" s="36" t="inlineStr">
        <is>
          <t>No Match Found</t>
        </is>
      </c>
      <c r="G108" s="36" t="inlineStr">
        <is>
          <t>NA</t>
        </is>
      </c>
      <c r="H108" s="24" t="inlineStr">
        <is>
          <t>No Match Found</t>
        </is>
      </c>
      <c r="I108" s="24" t="b">
        <v>0</v>
      </c>
      <c r="J108" s="2" t="n">
        <v>43297</v>
      </c>
      <c r="K108" s="36" t="inlineStr">
        <is>
          <t>No Match Found</t>
        </is>
      </c>
      <c r="L108" s="36" t="inlineStr">
        <is>
          <t>NA</t>
        </is>
      </c>
      <c r="M108" s="24" t="inlineStr">
        <is>
          <t>No Match Found</t>
        </is>
      </c>
      <c r="N108" s="24" t="b">
        <v>0</v>
      </c>
      <c r="Q108" s="39" t="inlineStr">
        <is>
          <t>No Match Found</t>
        </is>
      </c>
      <c r="R108" s="39" t="inlineStr">
        <is>
          <t>NA</t>
        </is>
      </c>
      <c r="S108" s="27" t="inlineStr">
        <is>
          <t>No Match Found</t>
        </is>
      </c>
      <c r="T108" s="27" t="b">
        <v>0</v>
      </c>
      <c r="U108" s="2" t="n">
        <v>43353</v>
      </c>
      <c r="V108" s="36" t="inlineStr">
        <is>
          <t>No Match Found</t>
        </is>
      </c>
      <c r="W108" s="36" t="inlineStr">
        <is>
          <t>NA</t>
        </is>
      </c>
      <c r="X108" s="24" t="inlineStr">
        <is>
          <t>No Match Found</t>
        </is>
      </c>
      <c r="Y108" s="24" t="b">
        <v>0</v>
      </c>
      <c r="AA108" s="39" t="inlineStr">
        <is>
          <t>No Match Found</t>
        </is>
      </c>
      <c r="AB108" s="39" t="inlineStr">
        <is>
          <t>NA</t>
        </is>
      </c>
      <c r="AC108" s="27" t="inlineStr">
        <is>
          <t>No Match Found</t>
        </is>
      </c>
      <c r="AD108" s="27" t="b">
        <v>0</v>
      </c>
      <c r="AE108" s="1" t="inlineStr">
        <is>
          <t>I</t>
        </is>
      </c>
      <c r="AF108" s="1" t="inlineStr">
        <is>
          <t>N</t>
        </is>
      </c>
      <c r="AG108" s="3" t="n">
        <v>0</v>
      </c>
      <c r="AH108" s="1" t="inlineStr">
        <is>
          <t>N</t>
        </is>
      </c>
      <c r="AI108" s="1" t="inlineStr">
        <is>
          <t>N</t>
        </is>
      </c>
      <c r="AJ108" s="4" t="n">
        <v>0</v>
      </c>
      <c r="AK108" s="5" t="n">
        <v>0</v>
      </c>
      <c r="AL108" s="41" t="inlineStr">
        <is>
          <t>No Match Found</t>
        </is>
      </c>
      <c r="AM108" s="41" t="inlineStr">
        <is>
          <t>NA</t>
        </is>
      </c>
      <c r="AN108" s="5" t="n">
        <v>0</v>
      </c>
      <c r="AO108" s="29" t="inlineStr">
        <is>
          <t>No Match Found</t>
        </is>
      </c>
      <c r="AP108" s="29" t="b">
        <v>1</v>
      </c>
      <c r="AQ108" s="4" t="n">
        <v>0</v>
      </c>
      <c r="AR108" s="47" t="inlineStr">
        <is>
          <t>No Match Found</t>
        </is>
      </c>
      <c r="AS108" s="47" t="inlineStr">
        <is>
          <t>NA</t>
        </is>
      </c>
      <c r="AT108" s="4" t="n">
        <v>0</v>
      </c>
      <c r="AU108" s="4" t="n">
        <v>0</v>
      </c>
      <c r="AV108" s="47" t="inlineStr">
        <is>
          <t>No Match Found</t>
        </is>
      </c>
      <c r="AW108" s="47" t="inlineStr">
        <is>
          <t>NA</t>
        </is>
      </c>
      <c r="AX108" s="4" t="n">
        <v>0</v>
      </c>
      <c r="AY108" s="47" t="inlineStr">
        <is>
          <t>No Match Found</t>
        </is>
      </c>
      <c r="AZ108" s="47" t="inlineStr">
        <is>
          <t>NA</t>
        </is>
      </c>
      <c r="BA108" s="4" t="n">
        <v>0</v>
      </c>
      <c r="BB108" s="4" t="n">
        <v>0</v>
      </c>
      <c r="BC108" s="4" t="n">
        <v>0</v>
      </c>
      <c r="BD108" s="4" t="n">
        <v>0</v>
      </c>
      <c r="BE108" s="47" t="inlineStr">
        <is>
          <t>No Match Found</t>
        </is>
      </c>
      <c r="BF108" s="47" t="inlineStr">
        <is>
          <t>NA</t>
        </is>
      </c>
      <c r="BG108" s="6" t="n">
        <v>0</v>
      </c>
      <c r="BH108" s="53" t="inlineStr">
        <is>
          <t>No Match Found</t>
        </is>
      </c>
      <c r="BI108" s="53" t="inlineStr">
        <is>
          <t>NA</t>
        </is>
      </c>
      <c r="BJ108" s="4" t="n">
        <v>0</v>
      </c>
      <c r="BK108" s="4" t="n">
        <v>0</v>
      </c>
    </row>
    <row r="109">
      <c r="A109" t="n">
        <v>3</v>
      </c>
      <c r="B109" s="1" t="n"/>
      <c r="C109" s="1" t="n"/>
      <c r="D109" s="1" t="inlineStr"/>
      <c r="E109" s="2" t="n">
        <v>33629</v>
      </c>
      <c r="F109" s="36" t="inlineStr">
        <is>
          <t>No Match Found</t>
        </is>
      </c>
      <c r="G109" s="36" t="inlineStr">
        <is>
          <t>NA</t>
        </is>
      </c>
      <c r="H109" s="24" t="n">
        <v>33629</v>
      </c>
      <c r="I109" s="24" t="b">
        <v>1</v>
      </c>
      <c r="J109" s="2" t="n">
        <v>43752</v>
      </c>
      <c r="K109" s="36" t="inlineStr">
        <is>
          <t>No Match Found</t>
        </is>
      </c>
      <c r="L109" s="36" t="inlineStr">
        <is>
          <t>NA</t>
        </is>
      </c>
      <c r="M109" s="24" t="n">
        <v>43752</v>
      </c>
      <c r="N109" s="24" t="b">
        <v>1</v>
      </c>
      <c r="Q109" s="39" t="inlineStr">
        <is>
          <t>No Match Found</t>
        </is>
      </c>
      <c r="R109" s="39" t="inlineStr">
        <is>
          <t>NA</t>
        </is>
      </c>
      <c r="T109" s="27" t="b">
        <v>1</v>
      </c>
      <c r="U109" s="2" t="n">
        <v>43773</v>
      </c>
      <c r="V109" s="36" t="inlineStr">
        <is>
          <t>No Match Found</t>
        </is>
      </c>
      <c r="W109" s="36" t="inlineStr">
        <is>
          <t>NA</t>
        </is>
      </c>
      <c r="X109" s="24" t="n">
        <v>43773</v>
      </c>
      <c r="Y109" s="24" t="b">
        <v>1</v>
      </c>
      <c r="AA109" s="39" t="inlineStr">
        <is>
          <t>No Match Found</t>
        </is>
      </c>
      <c r="AB109" s="39" t="inlineStr">
        <is>
          <t>NA</t>
        </is>
      </c>
      <c r="AD109" s="27" t="b">
        <v>1</v>
      </c>
      <c r="AE109" s="1" t="inlineStr">
        <is>
          <t>I</t>
        </is>
      </c>
      <c r="AF109" s="1" t="inlineStr">
        <is>
          <t>N</t>
        </is>
      </c>
      <c r="AG109" s="3" t="n">
        <v>0</v>
      </c>
      <c r="AH109" s="1" t="inlineStr">
        <is>
          <t>N</t>
        </is>
      </c>
      <c r="AI109" s="1" t="inlineStr">
        <is>
          <t>N</t>
        </is>
      </c>
      <c r="AJ109" s="4" t="n">
        <v>0</v>
      </c>
      <c r="AK109" s="5" t="n">
        <v>0</v>
      </c>
      <c r="AL109" s="41" t="inlineStr">
        <is>
          <t>No Match Found</t>
        </is>
      </c>
      <c r="AM109" s="41" t="inlineStr">
        <is>
          <t>NA</t>
        </is>
      </c>
      <c r="AN109" s="5" t="n">
        <v>1</v>
      </c>
      <c r="AO109" s="29" t="n">
        <v>1</v>
      </c>
      <c r="AP109" s="29" t="b">
        <v>1</v>
      </c>
      <c r="AQ109" s="4" t="n">
        <v>0</v>
      </c>
      <c r="AR109" s="47" t="inlineStr">
        <is>
          <t>No Match Found</t>
        </is>
      </c>
      <c r="AS109" s="47" t="inlineStr">
        <is>
          <t>NA</t>
        </is>
      </c>
      <c r="AT109" s="4" t="n">
        <v>0</v>
      </c>
      <c r="AU109" s="4" t="n">
        <v>0</v>
      </c>
      <c r="AV109" s="47" t="inlineStr">
        <is>
          <t>No Match Found</t>
        </is>
      </c>
      <c r="AW109" s="47" t="inlineStr">
        <is>
          <t>NA</t>
        </is>
      </c>
      <c r="AX109" s="4" t="n">
        <v>0</v>
      </c>
      <c r="AY109" s="47" t="inlineStr">
        <is>
          <t>No Match Found</t>
        </is>
      </c>
      <c r="AZ109" s="47" t="inlineStr">
        <is>
          <t>NA</t>
        </is>
      </c>
      <c r="BA109" s="4" t="n">
        <v>0</v>
      </c>
      <c r="BB109" s="4" t="n">
        <v>0</v>
      </c>
      <c r="BC109" s="4" t="n">
        <v>0</v>
      </c>
      <c r="BD109" s="4" t="n">
        <v>0</v>
      </c>
      <c r="BE109" s="47" t="inlineStr">
        <is>
          <t>No Match Found</t>
        </is>
      </c>
      <c r="BF109" s="47" t="inlineStr">
        <is>
          <t>NA</t>
        </is>
      </c>
      <c r="BG109" s="6" t="n">
        <v>0</v>
      </c>
      <c r="BH109" s="53" t="inlineStr">
        <is>
          <t>No Match Found</t>
        </is>
      </c>
      <c r="BI109" s="53" t="inlineStr">
        <is>
          <t>NA</t>
        </is>
      </c>
      <c r="BJ109" s="4" t="n">
        <v>0</v>
      </c>
      <c r="BK109" s="4" t="n">
        <v>0</v>
      </c>
    </row>
    <row r="110">
      <c r="A110" t="n">
        <v>4</v>
      </c>
      <c r="B110" s="1" t="n"/>
      <c r="C110" s="1" t="n"/>
      <c r="D110" s="1" t="inlineStr"/>
      <c r="E110" s="2" t="n">
        <v>35523</v>
      </c>
      <c r="F110" s="36" t="inlineStr">
        <is>
          <t>No Match Found</t>
        </is>
      </c>
      <c r="G110" s="36" t="inlineStr">
        <is>
          <t>NA</t>
        </is>
      </c>
      <c r="H110" s="24" t="n">
        <v>35523</v>
      </c>
      <c r="I110" s="24" t="b">
        <v>1</v>
      </c>
      <c r="J110" s="2" t="n">
        <v>44978</v>
      </c>
      <c r="K110" s="36" t="inlineStr">
        <is>
          <t>No Match Found</t>
        </is>
      </c>
      <c r="L110" s="36" t="inlineStr">
        <is>
          <t>NA</t>
        </is>
      </c>
      <c r="M110" s="24" t="n">
        <v>44978</v>
      </c>
      <c r="N110" s="24" t="b">
        <v>1</v>
      </c>
      <c r="Q110" s="39" t="inlineStr">
        <is>
          <t>No Match Found</t>
        </is>
      </c>
      <c r="R110" s="39" t="inlineStr">
        <is>
          <t>NA</t>
        </is>
      </c>
      <c r="T110" s="27" t="b">
        <v>1</v>
      </c>
      <c r="U110" s="2" t="n">
        <v>44987</v>
      </c>
      <c r="V110" s="36" t="inlineStr">
        <is>
          <t>No Match Found</t>
        </is>
      </c>
      <c r="W110" s="36" t="inlineStr">
        <is>
          <t>NA</t>
        </is>
      </c>
      <c r="X110" s="24" t="n">
        <v>44987</v>
      </c>
      <c r="Y110" s="24" t="b">
        <v>1</v>
      </c>
      <c r="AA110" s="39" t="inlineStr">
        <is>
          <t>No Match Found</t>
        </is>
      </c>
      <c r="AB110" s="39" t="inlineStr">
        <is>
          <t>NA</t>
        </is>
      </c>
      <c r="AD110" s="27" t="b">
        <v>1</v>
      </c>
      <c r="AE110" s="1" t="inlineStr">
        <is>
          <t>I</t>
        </is>
      </c>
      <c r="AF110" s="1" t="inlineStr">
        <is>
          <t>N</t>
        </is>
      </c>
      <c r="AG110" s="3" t="n">
        <v>0</v>
      </c>
      <c r="AH110" s="1" t="inlineStr">
        <is>
          <t>N</t>
        </is>
      </c>
      <c r="AI110" s="1" t="inlineStr">
        <is>
          <t>N</t>
        </is>
      </c>
      <c r="AJ110" s="4" t="n">
        <v>0</v>
      </c>
      <c r="AK110" s="5" t="n">
        <v>0</v>
      </c>
      <c r="AL110" s="41" t="inlineStr">
        <is>
          <t>No Match Found</t>
        </is>
      </c>
      <c r="AM110" s="41" t="inlineStr">
        <is>
          <t>NA</t>
        </is>
      </c>
      <c r="AN110" s="5" t="n">
        <v>0</v>
      </c>
      <c r="AO110" s="29" t="n">
        <v>0</v>
      </c>
      <c r="AP110" s="29" t="b">
        <v>1</v>
      </c>
      <c r="AQ110" s="4" t="n">
        <v>0</v>
      </c>
      <c r="AR110" s="47" t="inlineStr">
        <is>
          <t>No Match Found</t>
        </is>
      </c>
      <c r="AS110" s="47" t="inlineStr">
        <is>
          <t>NA</t>
        </is>
      </c>
      <c r="AT110" s="4" t="n">
        <v>0</v>
      </c>
      <c r="AU110" s="4" t="n">
        <v>0</v>
      </c>
      <c r="AV110" s="47" t="inlineStr">
        <is>
          <t>No Match Found</t>
        </is>
      </c>
      <c r="AW110" s="47" t="inlineStr">
        <is>
          <t>NA</t>
        </is>
      </c>
      <c r="AX110" s="4" t="n">
        <v>0</v>
      </c>
      <c r="AY110" s="47" t="inlineStr">
        <is>
          <t>No Match Found</t>
        </is>
      </c>
      <c r="AZ110" s="47" t="inlineStr">
        <is>
          <t>NA</t>
        </is>
      </c>
      <c r="BA110" s="4" t="n">
        <v>0</v>
      </c>
      <c r="BB110" s="4" t="n">
        <v>0</v>
      </c>
      <c r="BC110" s="4" t="n">
        <v>0</v>
      </c>
      <c r="BD110" s="4" t="n">
        <v>0</v>
      </c>
      <c r="BE110" s="47" t="inlineStr">
        <is>
          <t>No Match Found</t>
        </is>
      </c>
      <c r="BF110" s="47" t="inlineStr">
        <is>
          <t>NA</t>
        </is>
      </c>
      <c r="BG110" s="6" t="n">
        <v>0</v>
      </c>
      <c r="BH110" s="53" t="inlineStr">
        <is>
          <t>No Match Found</t>
        </is>
      </c>
      <c r="BI110" s="53" t="inlineStr">
        <is>
          <t>NA</t>
        </is>
      </c>
      <c r="BJ110" s="4" t="n">
        <v>0</v>
      </c>
      <c r="BK110" s="4" t="n">
        <v>0</v>
      </c>
    </row>
    <row r="111">
      <c r="A111" t="n">
        <v>5</v>
      </c>
      <c r="B111" s="1" t="n"/>
      <c r="C111" s="1" t="n"/>
      <c r="D111" s="1" t="inlineStr"/>
      <c r="E111" s="2" t="n">
        <v>26176</v>
      </c>
      <c r="F111" s="36" t="inlineStr">
        <is>
          <t>No Match Found</t>
        </is>
      </c>
      <c r="G111" s="36" t="inlineStr">
        <is>
          <t>NA</t>
        </is>
      </c>
      <c r="H111" s="24" t="n">
        <v>26176</v>
      </c>
      <c r="I111" s="24" t="b">
        <v>1</v>
      </c>
      <c r="J111" s="2" t="n">
        <v>45005</v>
      </c>
      <c r="K111" s="36" t="inlineStr">
        <is>
          <t>No Match Found</t>
        </is>
      </c>
      <c r="L111" s="36" t="inlineStr">
        <is>
          <t>NA</t>
        </is>
      </c>
      <c r="M111" s="24" t="n">
        <v>45005</v>
      </c>
      <c r="N111" s="24" t="b">
        <v>1</v>
      </c>
      <c r="Q111" s="39" t="inlineStr">
        <is>
          <t>No Match Found</t>
        </is>
      </c>
      <c r="R111" s="39" t="inlineStr">
        <is>
          <t>NA</t>
        </is>
      </c>
      <c r="T111" s="27" t="b">
        <v>1</v>
      </c>
      <c r="U111" s="2" t="n">
        <v>45064</v>
      </c>
      <c r="V111" s="36" t="inlineStr">
        <is>
          <t>No Match Found</t>
        </is>
      </c>
      <c r="W111" s="36" t="inlineStr">
        <is>
          <t>NA</t>
        </is>
      </c>
      <c r="X111" s="24" t="n">
        <v>45064</v>
      </c>
      <c r="Y111" s="24" t="b">
        <v>1</v>
      </c>
      <c r="AA111" s="39" t="inlineStr">
        <is>
          <t>No Match Found</t>
        </is>
      </c>
      <c r="AB111" s="39" t="inlineStr">
        <is>
          <t>NA</t>
        </is>
      </c>
      <c r="AD111" s="27" t="b">
        <v>1</v>
      </c>
      <c r="AE111" s="1" t="inlineStr">
        <is>
          <t>I</t>
        </is>
      </c>
      <c r="AF111" s="1" t="inlineStr">
        <is>
          <t>N</t>
        </is>
      </c>
      <c r="AG111" s="3" t="n">
        <v>0</v>
      </c>
      <c r="AH111" s="1" t="inlineStr">
        <is>
          <t>N</t>
        </is>
      </c>
      <c r="AI111" s="1" t="inlineStr">
        <is>
          <t>N</t>
        </is>
      </c>
      <c r="AJ111" s="4" t="n">
        <v>0</v>
      </c>
      <c r="AK111" s="5" t="n">
        <v>0</v>
      </c>
      <c r="AL111" s="41" t="inlineStr">
        <is>
          <t>No Match Found</t>
        </is>
      </c>
      <c r="AM111" s="41" t="inlineStr">
        <is>
          <t>NA</t>
        </is>
      </c>
      <c r="AN111" s="5" t="n">
        <v>0</v>
      </c>
      <c r="AO111" s="29" t="n">
        <v>0</v>
      </c>
      <c r="AP111" s="29" t="b">
        <v>1</v>
      </c>
      <c r="AQ111" s="4" t="n">
        <v>0</v>
      </c>
      <c r="AR111" s="47" t="inlineStr">
        <is>
          <t>No Match Found</t>
        </is>
      </c>
      <c r="AS111" s="47" t="inlineStr">
        <is>
          <t>NA</t>
        </is>
      </c>
      <c r="AT111" s="4" t="n">
        <v>0</v>
      </c>
      <c r="AU111" s="4" t="n">
        <v>0</v>
      </c>
      <c r="AV111" s="47" t="inlineStr">
        <is>
          <t>No Match Found</t>
        </is>
      </c>
      <c r="AW111" s="47" t="inlineStr">
        <is>
          <t>NA</t>
        </is>
      </c>
      <c r="AX111" s="4" t="n">
        <v>0</v>
      </c>
      <c r="AY111" s="47" t="inlineStr">
        <is>
          <t>No Match Found</t>
        </is>
      </c>
      <c r="AZ111" s="47" t="inlineStr">
        <is>
          <t>NA</t>
        </is>
      </c>
      <c r="BA111" s="4" t="n">
        <v>0</v>
      </c>
      <c r="BB111" s="4" t="n">
        <v>0</v>
      </c>
      <c r="BC111" s="4" t="n">
        <v>0</v>
      </c>
      <c r="BD111" s="4" t="n">
        <v>0</v>
      </c>
      <c r="BE111" s="47" t="inlineStr">
        <is>
          <t>No Match Found</t>
        </is>
      </c>
      <c r="BF111" s="47" t="inlineStr">
        <is>
          <t>NA</t>
        </is>
      </c>
      <c r="BG111" s="6" t="n">
        <v>0</v>
      </c>
      <c r="BH111" s="53" t="inlineStr">
        <is>
          <t>No Match Found</t>
        </is>
      </c>
      <c r="BI111" s="53" t="inlineStr">
        <is>
          <t>NA</t>
        </is>
      </c>
      <c r="BJ111" s="4" t="n">
        <v>0</v>
      </c>
      <c r="BK111" s="4" t="n">
        <v>0</v>
      </c>
    </row>
    <row r="112">
      <c r="A112" t="n">
        <v>6</v>
      </c>
      <c r="B112" s="1" t="n"/>
      <c r="C112" s="1" t="n"/>
      <c r="D112" s="1" t="inlineStr"/>
      <c r="E112" s="2" t="n">
        <v>20045</v>
      </c>
      <c r="F112" s="36" t="inlineStr">
        <is>
          <t>No Match Found</t>
        </is>
      </c>
      <c r="G112" s="36" t="inlineStr">
        <is>
          <t>NA</t>
        </is>
      </c>
      <c r="H112" s="24" t="n">
        <v>20045</v>
      </c>
      <c r="I112" s="24" t="b">
        <v>1</v>
      </c>
      <c r="J112" s="2" t="n">
        <v>28282</v>
      </c>
      <c r="K112" s="36" t="inlineStr">
        <is>
          <t>No Match Found</t>
        </is>
      </c>
      <c r="L112" s="36" t="inlineStr">
        <is>
          <t>NA</t>
        </is>
      </c>
      <c r="M112" s="24" t="n">
        <v>28282</v>
      </c>
      <c r="N112" s="24" t="b">
        <v>1</v>
      </c>
      <c r="O112" s="2" t="n">
        <v>35765</v>
      </c>
      <c r="P112" t="inlineStr">
        <is>
          <t>Processed</t>
        </is>
      </c>
      <c r="Q112" s="36" t="inlineStr">
        <is>
          <t>No Match Found</t>
        </is>
      </c>
      <c r="R112" s="36" t="inlineStr">
        <is>
          <t>NA</t>
        </is>
      </c>
      <c r="S112" s="24" t="n">
        <v>35765</v>
      </c>
      <c r="T112" s="24" t="b">
        <v>1</v>
      </c>
      <c r="U112" s="2" t="n">
        <v>44288</v>
      </c>
      <c r="V112" s="36" t="inlineStr">
        <is>
          <t>No Match Found</t>
        </is>
      </c>
      <c r="W112" s="36" t="inlineStr">
        <is>
          <t>NA</t>
        </is>
      </c>
      <c r="X112" s="24" t="n">
        <v>44288</v>
      </c>
      <c r="Y112" s="24" t="b">
        <v>1</v>
      </c>
      <c r="AA112" s="39" t="inlineStr">
        <is>
          <t>No Match Found</t>
        </is>
      </c>
      <c r="AB112" s="39" t="inlineStr">
        <is>
          <t>NA</t>
        </is>
      </c>
      <c r="AD112" s="27" t="b">
        <v>1</v>
      </c>
      <c r="AE112" s="1" t="inlineStr">
        <is>
          <t>X</t>
        </is>
      </c>
      <c r="AF112" s="1" t="inlineStr">
        <is>
          <t>N</t>
        </is>
      </c>
      <c r="AG112" s="3" t="n">
        <v>0</v>
      </c>
      <c r="AH112" s="1" t="inlineStr">
        <is>
          <t>N</t>
        </is>
      </c>
      <c r="AI112" s="1" t="inlineStr">
        <is>
          <t>N</t>
        </is>
      </c>
      <c r="AJ112" s="4" t="n">
        <v>240688.68</v>
      </c>
      <c r="AK112" s="5" t="n">
        <v>0</v>
      </c>
      <c r="AL112" s="41" t="inlineStr">
        <is>
          <t>No Match Found</t>
        </is>
      </c>
      <c r="AM112" s="41" t="inlineStr">
        <is>
          <t>NA</t>
        </is>
      </c>
      <c r="AN112" s="5" t="n">
        <v>44</v>
      </c>
      <c r="AO112" s="29" t="n">
        <v>44</v>
      </c>
      <c r="AP112" s="29" t="b">
        <v>1</v>
      </c>
      <c r="AQ112" s="4" t="n">
        <v>0</v>
      </c>
      <c r="AR112" s="47" t="inlineStr">
        <is>
          <t>No Match Found</t>
        </is>
      </c>
      <c r="AS112" s="47" t="inlineStr">
        <is>
          <t>NA</t>
        </is>
      </c>
      <c r="AT112" s="4" t="n">
        <v>0</v>
      </c>
      <c r="AU112" s="4" t="n">
        <v>0</v>
      </c>
      <c r="AV112" s="47" t="inlineStr">
        <is>
          <t>No Match Found</t>
        </is>
      </c>
      <c r="AW112" s="47" t="inlineStr">
        <is>
          <t>NA</t>
        </is>
      </c>
      <c r="AX112" s="4" t="n">
        <v>0</v>
      </c>
      <c r="AY112" s="47" t="inlineStr">
        <is>
          <t>No Match Found</t>
        </is>
      </c>
      <c r="AZ112" s="47" t="inlineStr">
        <is>
          <t>NA</t>
        </is>
      </c>
      <c r="BA112" s="4" t="n">
        <v>0</v>
      </c>
      <c r="BB112" s="4" t="n">
        <v>0</v>
      </c>
      <c r="BC112" s="4" t="n">
        <v>0</v>
      </c>
      <c r="BD112" s="4" t="n">
        <v>0</v>
      </c>
      <c r="BE112" s="47" t="inlineStr">
        <is>
          <t>No Match Found</t>
        </is>
      </c>
      <c r="BF112" s="47" t="inlineStr">
        <is>
          <t>NA</t>
        </is>
      </c>
      <c r="BG112" s="6" t="n">
        <v>0</v>
      </c>
      <c r="BH112" s="53" t="inlineStr">
        <is>
          <t>No Match Found</t>
        </is>
      </c>
      <c r="BI112" s="53" t="inlineStr">
        <is>
          <t>NA</t>
        </is>
      </c>
      <c r="BJ112" s="4" t="n">
        <v>0</v>
      </c>
      <c r="BK112" s="4" t="n">
        <v>0</v>
      </c>
    </row>
    <row r="113">
      <c r="A113" t="n">
        <v>7</v>
      </c>
      <c r="B113" s="1" t="n"/>
      <c r="C113" s="1" t="n"/>
      <c r="D113" s="1" t="inlineStr"/>
      <c r="E113" s="2" t="n">
        <v>20972</v>
      </c>
      <c r="F113" s="36" t="n">
        <v>20972</v>
      </c>
      <c r="G113" s="36" t="b">
        <v>1</v>
      </c>
      <c r="H113" s="24" t="n">
        <v>20972</v>
      </c>
      <c r="I113" s="24" t="b">
        <v>1</v>
      </c>
      <c r="J113" s="2" t="n">
        <v>28976</v>
      </c>
      <c r="K113" s="36" t="n">
        <v>28976</v>
      </c>
      <c r="L113" s="36" t="b">
        <v>1</v>
      </c>
      <c r="M113" s="24" t="n">
        <v>28976</v>
      </c>
      <c r="N113" s="24" t="b">
        <v>1</v>
      </c>
      <c r="O113" s="2" t="n">
        <v>35765</v>
      </c>
      <c r="P113" t="inlineStr">
        <is>
          <t>Processed</t>
        </is>
      </c>
      <c r="Q113" s="36" t="n">
        <v>35765</v>
      </c>
      <c r="R113" s="36" t="b">
        <v>1</v>
      </c>
      <c r="S113" s="24" t="n">
        <v>35765</v>
      </c>
      <c r="T113" s="24" t="b">
        <v>1</v>
      </c>
      <c r="U113" s="2" t="n">
        <v>44932</v>
      </c>
      <c r="V113" s="36" t="n">
        <v>44932</v>
      </c>
      <c r="W113" s="36" t="b">
        <v>1</v>
      </c>
      <c r="X113" s="24" t="n">
        <v>44932</v>
      </c>
      <c r="Y113" s="24" t="b">
        <v>1</v>
      </c>
      <c r="AB113" s="39" t="b">
        <v>1</v>
      </c>
      <c r="AD113" s="27" t="b">
        <v>1</v>
      </c>
      <c r="AE113" s="1" t="inlineStr">
        <is>
          <t>X</t>
        </is>
      </c>
      <c r="AF113" s="1" t="inlineStr">
        <is>
          <t>N</t>
        </is>
      </c>
      <c r="AG113" s="3" t="n">
        <v>0</v>
      </c>
      <c r="AH113" s="1" t="inlineStr">
        <is>
          <t>N</t>
        </is>
      </c>
      <c r="AI113" s="1" t="inlineStr">
        <is>
          <t>N</t>
        </is>
      </c>
      <c r="AJ113" s="4" t="n">
        <v>367685.8</v>
      </c>
      <c r="AK113" s="5" t="n">
        <v>0</v>
      </c>
      <c r="AL113" s="41" t="n">
        <v>0</v>
      </c>
      <c r="AM113" s="41">
        <f>IF(AND(ISNUMBER($AK$113), ISNUMBER($AJ$113)), IF(($AK$113 - $AJ$113)&lt;=1, 0, ($AK$113 - $AJ$113)), "")</f>
        <v/>
      </c>
      <c r="AN113" s="5" t="n">
        <v>44</v>
      </c>
      <c r="AO113" s="29" t="n">
        <v>44</v>
      </c>
      <c r="AP113" s="29" t="b">
        <v>1</v>
      </c>
      <c r="AQ113" s="4" t="n">
        <v>0</v>
      </c>
      <c r="AR113" s="47" t="n">
        <v>0</v>
      </c>
      <c r="AS113" s="47">
        <f>$AQ$113-$AP$113</f>
        <v/>
      </c>
      <c r="AT113" s="4" t="n">
        <v>0</v>
      </c>
      <c r="AU113" s="4" t="n">
        <v>0</v>
      </c>
      <c r="AV113" s="47" t="n">
        <v>0</v>
      </c>
      <c r="AW113" s="47">
        <f>$AU$113-$AT$113</f>
        <v/>
      </c>
      <c r="AX113" s="4" t="n">
        <v>0</v>
      </c>
      <c r="AY113" s="47" t="n">
        <v>0</v>
      </c>
      <c r="AZ113" s="47">
        <f>$AX$113-$AW$113</f>
        <v/>
      </c>
      <c r="BA113" s="4" t="n">
        <v>0</v>
      </c>
      <c r="BB113" s="4" t="n">
        <v>0</v>
      </c>
      <c r="BC113" s="4" t="n">
        <v>0</v>
      </c>
      <c r="BD113" s="4" t="n">
        <v>0</v>
      </c>
      <c r="BE113" s="47" t="n">
        <v>0</v>
      </c>
      <c r="BF113" s="47">
        <f>$BD$113-$BC$113</f>
        <v/>
      </c>
      <c r="BG113" s="6" t="n">
        <v>0</v>
      </c>
      <c r="BH113" s="53" t="n">
        <v>0</v>
      </c>
      <c r="BI113" s="53">
        <f>$BG$113-$BF$113</f>
        <v/>
      </c>
      <c r="BJ113" s="4" t="n">
        <v>0</v>
      </c>
      <c r="BK113" s="4" t="n">
        <v>0</v>
      </c>
    </row>
    <row r="114">
      <c r="A114" t="n">
        <v>8</v>
      </c>
      <c r="B114" s="1" t="n"/>
      <c r="C114" s="1" t="n"/>
      <c r="D114" s="1" t="inlineStr"/>
      <c r="E114" s="2" t="n">
        <v>18669</v>
      </c>
      <c r="F114" s="36" t="inlineStr">
        <is>
          <t>No Match Found</t>
        </is>
      </c>
      <c r="G114" s="36" t="inlineStr">
        <is>
          <t>NA</t>
        </is>
      </c>
      <c r="H114" s="24" t="n">
        <v>18669</v>
      </c>
      <c r="I114" s="24" t="b">
        <v>1</v>
      </c>
      <c r="J114" s="2" t="n">
        <v>30074</v>
      </c>
      <c r="K114" s="36" t="inlineStr">
        <is>
          <t>No Match Found</t>
        </is>
      </c>
      <c r="L114" s="36" t="inlineStr">
        <is>
          <t>NA</t>
        </is>
      </c>
      <c r="M114" s="24" t="n">
        <v>30074</v>
      </c>
      <c r="N114" s="24" t="b">
        <v>1</v>
      </c>
      <c r="O114" s="2" t="n">
        <v>35765</v>
      </c>
      <c r="P114" t="inlineStr">
        <is>
          <t>Processed</t>
        </is>
      </c>
      <c r="Q114" s="36" t="inlineStr">
        <is>
          <t>No Match Found</t>
        </is>
      </c>
      <c r="R114" s="36" t="inlineStr">
        <is>
          <t>NA</t>
        </is>
      </c>
      <c r="S114" s="24" t="n">
        <v>35765</v>
      </c>
      <c r="T114" s="24" t="b">
        <v>1</v>
      </c>
      <c r="U114" s="2" t="n">
        <v>41578</v>
      </c>
      <c r="V114" s="36" t="inlineStr">
        <is>
          <t>No Match Found</t>
        </is>
      </c>
      <c r="W114" s="36" t="inlineStr">
        <is>
          <t>NA</t>
        </is>
      </c>
      <c r="X114" s="24" t="n">
        <v>41578</v>
      </c>
      <c r="Y114" s="24" t="b">
        <v>1</v>
      </c>
      <c r="AA114" s="39" t="inlineStr">
        <is>
          <t>No Match Found</t>
        </is>
      </c>
      <c r="AB114" s="39" t="inlineStr">
        <is>
          <t>NA</t>
        </is>
      </c>
      <c r="AD114" s="27" t="b">
        <v>1</v>
      </c>
      <c r="AE114" s="1" t="inlineStr">
        <is>
          <t>X</t>
        </is>
      </c>
      <c r="AF114" s="1" t="inlineStr">
        <is>
          <t>N</t>
        </is>
      </c>
      <c r="AG114" s="3" t="n">
        <v>0</v>
      </c>
      <c r="AH114" s="1" t="inlineStr">
        <is>
          <t>N</t>
        </is>
      </c>
      <c r="AI114" s="1" t="inlineStr">
        <is>
          <t>N</t>
        </is>
      </c>
      <c r="AJ114" s="4" t="n">
        <v>143564.94</v>
      </c>
      <c r="AK114" s="5" t="n">
        <v>0</v>
      </c>
      <c r="AL114" s="41" t="inlineStr">
        <is>
          <t>No Match Found</t>
        </is>
      </c>
      <c r="AM114" s="41" t="inlineStr">
        <is>
          <t>NA</t>
        </is>
      </c>
      <c r="AN114" s="5" t="n">
        <v>32</v>
      </c>
      <c r="AO114" s="29" t="n">
        <v>32</v>
      </c>
      <c r="AP114" s="29" t="b">
        <v>1</v>
      </c>
      <c r="AQ114" s="4" t="n">
        <v>0</v>
      </c>
      <c r="AR114" s="47" t="inlineStr">
        <is>
          <t>No Match Found</t>
        </is>
      </c>
      <c r="AS114" s="47" t="inlineStr">
        <is>
          <t>NA</t>
        </is>
      </c>
      <c r="AT114" s="4" t="n">
        <v>0</v>
      </c>
      <c r="AU114" s="4" t="n">
        <v>0</v>
      </c>
      <c r="AV114" s="47" t="inlineStr">
        <is>
          <t>No Match Found</t>
        </is>
      </c>
      <c r="AW114" s="47" t="inlineStr">
        <is>
          <t>NA</t>
        </is>
      </c>
      <c r="AX114" s="4" t="n">
        <v>0</v>
      </c>
      <c r="AY114" s="47" t="inlineStr">
        <is>
          <t>No Match Found</t>
        </is>
      </c>
      <c r="AZ114" s="47" t="inlineStr">
        <is>
          <t>NA</t>
        </is>
      </c>
      <c r="BA114" s="4" t="n">
        <v>0</v>
      </c>
      <c r="BB114" s="4" t="n">
        <v>0</v>
      </c>
      <c r="BC114" s="4" t="n">
        <v>0</v>
      </c>
      <c r="BD114" s="4" t="n">
        <v>0</v>
      </c>
      <c r="BE114" s="47" t="inlineStr">
        <is>
          <t>No Match Found</t>
        </is>
      </c>
      <c r="BF114" s="47" t="inlineStr">
        <is>
          <t>NA</t>
        </is>
      </c>
      <c r="BG114" s="6" t="n">
        <v>0</v>
      </c>
      <c r="BH114" s="53" t="inlineStr">
        <is>
          <t>No Match Found</t>
        </is>
      </c>
      <c r="BI114" s="53" t="inlineStr">
        <is>
          <t>NA</t>
        </is>
      </c>
      <c r="BJ114" s="4" t="n">
        <v>0</v>
      </c>
      <c r="BK114" s="4" t="n">
        <v>0</v>
      </c>
    </row>
    <row r="115">
      <c r="A115" t="n">
        <v>9</v>
      </c>
      <c r="B115" s="1" t="n"/>
      <c r="C115" s="1" t="n"/>
      <c r="D115" s="1" t="inlineStr"/>
      <c r="E115" s="2" t="n">
        <v>19050</v>
      </c>
      <c r="F115" s="36" t="inlineStr">
        <is>
          <t>No Match Found</t>
        </is>
      </c>
      <c r="G115" s="36" t="inlineStr">
        <is>
          <t>NA</t>
        </is>
      </c>
      <c r="H115" s="24" t="n">
        <v>19050</v>
      </c>
      <c r="I115" s="24" t="b">
        <v>1</v>
      </c>
      <c r="J115" s="2" t="n">
        <v>33451</v>
      </c>
      <c r="K115" s="36" t="inlineStr">
        <is>
          <t>No Match Found</t>
        </is>
      </c>
      <c r="L115" s="36" t="inlineStr">
        <is>
          <t>NA</t>
        </is>
      </c>
      <c r="M115" s="24" t="n">
        <v>33451</v>
      </c>
      <c r="N115" s="24" t="b">
        <v>1</v>
      </c>
      <c r="O115" s="2" t="n">
        <v>35765</v>
      </c>
      <c r="P115" t="inlineStr">
        <is>
          <t>Processed</t>
        </is>
      </c>
      <c r="Q115" s="36" t="inlineStr">
        <is>
          <t>No Match Found</t>
        </is>
      </c>
      <c r="R115" s="36" t="inlineStr">
        <is>
          <t>NA</t>
        </is>
      </c>
      <c r="S115" s="24" t="n">
        <v>35765</v>
      </c>
      <c r="T115" s="24" t="b">
        <v>1</v>
      </c>
      <c r="U115" s="2" t="n">
        <v>43987</v>
      </c>
      <c r="V115" s="36" t="inlineStr">
        <is>
          <t>No Match Found</t>
        </is>
      </c>
      <c r="W115" s="36" t="inlineStr">
        <is>
          <t>NA</t>
        </is>
      </c>
      <c r="X115" s="24" t="n">
        <v>43987</v>
      </c>
      <c r="Y115" s="24" t="b">
        <v>1</v>
      </c>
      <c r="AA115" s="39" t="inlineStr">
        <is>
          <t>No Match Found</t>
        </is>
      </c>
      <c r="AB115" s="39" t="inlineStr">
        <is>
          <t>NA</t>
        </is>
      </c>
      <c r="AD115" s="27" t="b">
        <v>1</v>
      </c>
      <c r="AE115" s="1" t="inlineStr">
        <is>
          <t>X</t>
        </is>
      </c>
      <c r="AF115" s="1" t="inlineStr">
        <is>
          <t>N</t>
        </is>
      </c>
      <c r="AG115" s="3" t="n">
        <v>0</v>
      </c>
      <c r="AH115" s="1" t="inlineStr">
        <is>
          <t>N</t>
        </is>
      </c>
      <c r="AI115" s="1" t="inlineStr">
        <is>
          <t>N</t>
        </is>
      </c>
      <c r="AJ115" s="4" t="n">
        <v>0</v>
      </c>
      <c r="AK115" s="5" t="n">
        <v>0</v>
      </c>
      <c r="AL115" s="41" t="inlineStr">
        <is>
          <t>No Match Found</t>
        </is>
      </c>
      <c r="AM115" s="41" t="inlineStr">
        <is>
          <t>NA</t>
        </is>
      </c>
      <c r="AN115" s="5" t="n">
        <v>29</v>
      </c>
      <c r="AO115" s="29" t="n">
        <v>29</v>
      </c>
      <c r="AP115" s="29" t="b">
        <v>1</v>
      </c>
      <c r="AQ115" s="4" t="n">
        <v>0</v>
      </c>
      <c r="AR115" s="47" t="inlineStr">
        <is>
          <t>No Match Found</t>
        </is>
      </c>
      <c r="AS115" s="47" t="inlineStr">
        <is>
          <t>NA</t>
        </is>
      </c>
      <c r="AT115" s="4" t="n">
        <v>0</v>
      </c>
      <c r="AU115" s="4" t="n">
        <v>0</v>
      </c>
      <c r="AV115" s="47" t="inlineStr">
        <is>
          <t>No Match Found</t>
        </is>
      </c>
      <c r="AW115" s="47" t="inlineStr">
        <is>
          <t>NA</t>
        </is>
      </c>
      <c r="AX115" s="4" t="n">
        <v>0</v>
      </c>
      <c r="AY115" s="47" t="inlineStr">
        <is>
          <t>No Match Found</t>
        </is>
      </c>
      <c r="AZ115" s="47" t="inlineStr">
        <is>
          <t>NA</t>
        </is>
      </c>
      <c r="BA115" s="4" t="n">
        <v>0</v>
      </c>
      <c r="BB115" s="4" t="n">
        <v>0</v>
      </c>
      <c r="BC115" s="4" t="n">
        <v>0</v>
      </c>
      <c r="BD115" s="4" t="n">
        <v>0</v>
      </c>
      <c r="BE115" s="47" t="inlineStr">
        <is>
          <t>No Match Found</t>
        </is>
      </c>
      <c r="BF115" s="47" t="inlineStr">
        <is>
          <t>NA</t>
        </is>
      </c>
      <c r="BG115" s="6" t="n">
        <v>0</v>
      </c>
      <c r="BH115" s="53" t="inlineStr">
        <is>
          <t>No Match Found</t>
        </is>
      </c>
      <c r="BI115" s="53" t="inlineStr">
        <is>
          <t>NA</t>
        </is>
      </c>
      <c r="BJ115" s="4" t="n">
        <v>0</v>
      </c>
      <c r="BK115" s="4" t="n">
        <v>0</v>
      </c>
    </row>
    <row r="116">
      <c r="A116" t="n">
        <v>10</v>
      </c>
      <c r="B116" s="1" t="n"/>
      <c r="C116" s="1" t="n"/>
      <c r="D116" s="1" t="inlineStr"/>
      <c r="E116" s="2" t="n">
        <v>25391</v>
      </c>
      <c r="F116" s="36" t="inlineStr">
        <is>
          <t>No Match Found</t>
        </is>
      </c>
      <c r="G116" s="36" t="inlineStr">
        <is>
          <t>NA</t>
        </is>
      </c>
      <c r="H116" s="24" t="n">
        <v>25391</v>
      </c>
      <c r="I116" s="24" t="b">
        <v>1</v>
      </c>
      <c r="J116" s="2" t="n">
        <v>34904</v>
      </c>
      <c r="K116" s="36" t="inlineStr">
        <is>
          <t>No Match Found</t>
        </is>
      </c>
      <c r="L116" s="36" t="inlineStr">
        <is>
          <t>NA</t>
        </is>
      </c>
      <c r="M116" s="24" t="n">
        <v>34904</v>
      </c>
      <c r="N116" s="24" t="b">
        <v>1</v>
      </c>
      <c r="O116" s="2" t="n">
        <v>35765</v>
      </c>
      <c r="P116" t="inlineStr">
        <is>
          <t>Processed</t>
        </is>
      </c>
      <c r="Q116" s="36" t="inlineStr">
        <is>
          <t>No Match Found</t>
        </is>
      </c>
      <c r="R116" s="36" t="inlineStr">
        <is>
          <t>NA</t>
        </is>
      </c>
      <c r="S116" s="24" t="n">
        <v>35765</v>
      </c>
      <c r="T116" s="24" t="b">
        <v>1</v>
      </c>
      <c r="U116" s="2" t="n">
        <v>41456</v>
      </c>
      <c r="V116" s="36" t="inlineStr">
        <is>
          <t>No Match Found</t>
        </is>
      </c>
      <c r="W116" s="36" t="inlineStr">
        <is>
          <t>NA</t>
        </is>
      </c>
      <c r="X116" s="24" t="n">
        <v>41456</v>
      </c>
      <c r="Y116" s="24" t="b">
        <v>1</v>
      </c>
      <c r="AA116" s="39" t="inlineStr">
        <is>
          <t>No Match Found</t>
        </is>
      </c>
      <c r="AB116" s="39" t="inlineStr">
        <is>
          <t>NA</t>
        </is>
      </c>
      <c r="AD116" s="27" t="b">
        <v>1</v>
      </c>
      <c r="AE116" s="1" t="inlineStr">
        <is>
          <t>X</t>
        </is>
      </c>
      <c r="AF116" s="1" t="inlineStr">
        <is>
          <t>N</t>
        </is>
      </c>
      <c r="AG116" s="3" t="n">
        <v>0</v>
      </c>
      <c r="AH116" s="1" t="inlineStr">
        <is>
          <t>N</t>
        </is>
      </c>
      <c r="AI116" s="1" t="inlineStr">
        <is>
          <t>N</t>
        </is>
      </c>
      <c r="AJ116" s="4" t="n">
        <v>0</v>
      </c>
      <c r="AK116" s="5" t="n">
        <v>0</v>
      </c>
      <c r="AL116" s="41" t="inlineStr">
        <is>
          <t>No Match Found</t>
        </is>
      </c>
      <c r="AM116" s="41" t="inlineStr">
        <is>
          <t>NA</t>
        </is>
      </c>
      <c r="AN116" s="5" t="n">
        <v>19</v>
      </c>
      <c r="AO116" s="29" t="n">
        <v>19</v>
      </c>
      <c r="AP116" s="29" t="b">
        <v>1</v>
      </c>
      <c r="AQ116" s="4" t="n">
        <v>0</v>
      </c>
      <c r="AR116" s="47" t="inlineStr">
        <is>
          <t>No Match Found</t>
        </is>
      </c>
      <c r="AS116" s="47" t="inlineStr">
        <is>
          <t>NA</t>
        </is>
      </c>
      <c r="AT116" s="4" t="n">
        <v>0</v>
      </c>
      <c r="AU116" s="4" t="n">
        <v>0</v>
      </c>
      <c r="AV116" s="47" t="inlineStr">
        <is>
          <t>No Match Found</t>
        </is>
      </c>
      <c r="AW116" s="47" t="inlineStr">
        <is>
          <t>NA</t>
        </is>
      </c>
      <c r="AX116" s="4" t="n">
        <v>0</v>
      </c>
      <c r="AY116" s="47" t="inlineStr">
        <is>
          <t>No Match Found</t>
        </is>
      </c>
      <c r="AZ116" s="47" t="inlineStr">
        <is>
          <t>NA</t>
        </is>
      </c>
      <c r="BA116" s="4" t="n">
        <v>0</v>
      </c>
      <c r="BB116" s="4" t="n">
        <v>0</v>
      </c>
      <c r="BC116" s="4" t="n">
        <v>0</v>
      </c>
      <c r="BD116" s="4" t="n">
        <v>0</v>
      </c>
      <c r="BE116" s="47" t="inlineStr">
        <is>
          <t>No Match Found</t>
        </is>
      </c>
      <c r="BF116" s="47" t="inlineStr">
        <is>
          <t>NA</t>
        </is>
      </c>
      <c r="BG116" s="6" t="n">
        <v>0</v>
      </c>
      <c r="BH116" s="53" t="inlineStr">
        <is>
          <t>No Match Found</t>
        </is>
      </c>
      <c r="BI116" s="53" t="inlineStr">
        <is>
          <t>NA</t>
        </is>
      </c>
      <c r="BJ116" s="4" t="n">
        <v>0</v>
      </c>
      <c r="BK116" s="4" t="n">
        <v>0</v>
      </c>
    </row>
    <row r="117">
      <c r="A117" t="n">
        <v>11</v>
      </c>
      <c r="B117" s="1" t="n"/>
      <c r="C117" s="1" t="n"/>
      <c r="D117" s="1" t="inlineStr"/>
      <c r="E117" s="2" t="n">
        <v>22631</v>
      </c>
      <c r="F117" s="36" t="inlineStr">
        <is>
          <t>No Match Found</t>
        </is>
      </c>
      <c r="G117" s="36" t="inlineStr">
        <is>
          <t>NA</t>
        </is>
      </c>
      <c r="H117" s="24" t="n">
        <v>22631</v>
      </c>
      <c r="I117" s="24" t="b">
        <v>1</v>
      </c>
      <c r="J117" s="2" t="n">
        <v>35668</v>
      </c>
      <c r="K117" s="36" t="inlineStr">
        <is>
          <t>No Match Found</t>
        </is>
      </c>
      <c r="L117" s="36" t="inlineStr">
        <is>
          <t>NA</t>
        </is>
      </c>
      <c r="M117" s="24" t="n">
        <v>35668</v>
      </c>
      <c r="N117" s="24" t="b">
        <v>1</v>
      </c>
      <c r="O117" s="2" t="n">
        <v>35765</v>
      </c>
      <c r="P117" t="inlineStr">
        <is>
          <t>Processed</t>
        </is>
      </c>
      <c r="Q117" s="36" t="inlineStr">
        <is>
          <t>No Match Found</t>
        </is>
      </c>
      <c r="R117" s="36" t="inlineStr">
        <is>
          <t>NA</t>
        </is>
      </c>
      <c r="S117" s="24" t="n">
        <v>35765</v>
      </c>
      <c r="T117" s="24" t="b">
        <v>1</v>
      </c>
      <c r="U117" s="2" t="n">
        <v>44871</v>
      </c>
      <c r="V117" s="36" t="inlineStr">
        <is>
          <t>No Match Found</t>
        </is>
      </c>
      <c r="W117" s="36" t="inlineStr">
        <is>
          <t>NA</t>
        </is>
      </c>
      <c r="X117" s="24" t="n">
        <v>44871</v>
      </c>
      <c r="Y117" s="24" t="b">
        <v>1</v>
      </c>
      <c r="AA117" s="39" t="inlineStr">
        <is>
          <t>No Match Found</t>
        </is>
      </c>
      <c r="AB117" s="39" t="inlineStr">
        <is>
          <t>NA</t>
        </is>
      </c>
      <c r="AD117" s="27" t="b">
        <v>1</v>
      </c>
      <c r="AE117" s="1" t="inlineStr">
        <is>
          <t>X</t>
        </is>
      </c>
      <c r="AF117" s="1" t="inlineStr">
        <is>
          <t>N</t>
        </is>
      </c>
      <c r="AG117" s="3" t="n">
        <v>0</v>
      </c>
      <c r="AH117" s="1" t="inlineStr">
        <is>
          <t>N</t>
        </is>
      </c>
      <c r="AI117" s="1" t="inlineStr">
        <is>
          <t>N</t>
        </is>
      </c>
      <c r="AJ117" s="4" t="n">
        <v>0</v>
      </c>
      <c r="AK117" s="5" t="n">
        <v>0</v>
      </c>
      <c r="AL117" s="41" t="inlineStr">
        <is>
          <t>No Match Found</t>
        </is>
      </c>
      <c r="AM117" s="41" t="inlineStr">
        <is>
          <t>NA</t>
        </is>
      </c>
      <c r="AN117" s="5" t="n">
        <v>25</v>
      </c>
      <c r="AO117" s="29" t="n">
        <v>25</v>
      </c>
      <c r="AP117" s="29" t="b">
        <v>1</v>
      </c>
      <c r="AQ117" s="4" t="n">
        <v>0</v>
      </c>
      <c r="AR117" s="47" t="inlineStr">
        <is>
          <t>No Match Found</t>
        </is>
      </c>
      <c r="AS117" s="47" t="inlineStr">
        <is>
          <t>NA</t>
        </is>
      </c>
      <c r="AT117" s="4" t="n">
        <v>0</v>
      </c>
      <c r="AU117" s="4" t="n">
        <v>0</v>
      </c>
      <c r="AV117" s="47" t="inlineStr">
        <is>
          <t>No Match Found</t>
        </is>
      </c>
      <c r="AW117" s="47" t="inlineStr">
        <is>
          <t>NA</t>
        </is>
      </c>
      <c r="AX117" s="4" t="n">
        <v>0</v>
      </c>
      <c r="AY117" s="47" t="inlineStr">
        <is>
          <t>No Match Found</t>
        </is>
      </c>
      <c r="AZ117" s="47" t="inlineStr">
        <is>
          <t>NA</t>
        </is>
      </c>
      <c r="BA117" s="4" t="n">
        <v>0</v>
      </c>
      <c r="BB117" s="4" t="n">
        <v>0</v>
      </c>
      <c r="BC117" s="4" t="n">
        <v>0</v>
      </c>
      <c r="BD117" s="4" t="n">
        <v>0</v>
      </c>
      <c r="BE117" s="47" t="inlineStr">
        <is>
          <t>No Match Found</t>
        </is>
      </c>
      <c r="BF117" s="47" t="inlineStr">
        <is>
          <t>NA</t>
        </is>
      </c>
      <c r="BG117" s="6" t="n">
        <v>0</v>
      </c>
      <c r="BH117" s="53" t="inlineStr">
        <is>
          <t>No Match Found</t>
        </is>
      </c>
      <c r="BI117" s="53" t="inlineStr">
        <is>
          <t>NA</t>
        </is>
      </c>
      <c r="BJ117" s="4" t="n">
        <v>0</v>
      </c>
      <c r="BK117" s="4" t="n">
        <v>0</v>
      </c>
    </row>
    <row r="118">
      <c r="A118" t="n">
        <v>12</v>
      </c>
      <c r="B118" s="1" t="n"/>
      <c r="C118" s="1" t="n"/>
      <c r="D118" s="1" t="inlineStr"/>
      <c r="E118" s="2" t="n">
        <v>28789</v>
      </c>
      <c r="F118" s="36" t="inlineStr">
        <is>
          <t>No Match Found</t>
        </is>
      </c>
      <c r="G118" s="36" t="inlineStr">
        <is>
          <t>NA</t>
        </is>
      </c>
      <c r="H118" s="24" t="n">
        <v>28789</v>
      </c>
      <c r="I118" s="24" t="b">
        <v>1</v>
      </c>
      <c r="J118" s="2" t="n">
        <v>35905</v>
      </c>
      <c r="K118" s="36" t="inlineStr">
        <is>
          <t>No Match Found</t>
        </is>
      </c>
      <c r="L118" s="36" t="inlineStr">
        <is>
          <t>NA</t>
        </is>
      </c>
      <c r="M118" s="24" t="n">
        <v>35905</v>
      </c>
      <c r="N118" s="24" t="b">
        <v>1</v>
      </c>
      <c r="O118" s="2" t="n">
        <v>36008</v>
      </c>
      <c r="P118" t="inlineStr">
        <is>
          <t>Processed</t>
        </is>
      </c>
      <c r="Q118" s="36" t="inlineStr">
        <is>
          <t>No Match Found</t>
        </is>
      </c>
      <c r="R118" s="36" t="inlineStr">
        <is>
          <t>NA</t>
        </is>
      </c>
      <c r="S118" s="24" t="n">
        <v>36008</v>
      </c>
      <c r="T118" s="24" t="b">
        <v>1</v>
      </c>
      <c r="U118" s="2" t="n">
        <v>38308</v>
      </c>
      <c r="V118" s="36" t="inlineStr">
        <is>
          <t>No Match Found</t>
        </is>
      </c>
      <c r="W118" s="36" t="inlineStr">
        <is>
          <t>NA</t>
        </is>
      </c>
      <c r="X118" s="24" t="n">
        <v>38308</v>
      </c>
      <c r="Y118" s="24" t="b">
        <v>1</v>
      </c>
      <c r="AA118" s="39" t="inlineStr">
        <is>
          <t>No Match Found</t>
        </is>
      </c>
      <c r="AB118" s="39" t="inlineStr">
        <is>
          <t>NA</t>
        </is>
      </c>
      <c r="AD118" s="27" t="b">
        <v>1</v>
      </c>
      <c r="AE118" s="1" t="inlineStr">
        <is>
          <t>X</t>
        </is>
      </c>
      <c r="AF118" s="1" t="inlineStr">
        <is>
          <t>N</t>
        </is>
      </c>
      <c r="AG118" s="3" t="n">
        <v>0</v>
      </c>
      <c r="AH118" s="1" t="inlineStr">
        <is>
          <t>N</t>
        </is>
      </c>
      <c r="AI118" s="1" t="inlineStr">
        <is>
          <t>N</t>
        </is>
      </c>
      <c r="AJ118" s="4" t="n">
        <v>174291.14</v>
      </c>
      <c r="AK118" s="5" t="n">
        <v>0</v>
      </c>
      <c r="AL118" s="41" t="inlineStr">
        <is>
          <t>No Match Found</t>
        </is>
      </c>
      <c r="AM118" s="41" t="inlineStr">
        <is>
          <t>NA</t>
        </is>
      </c>
      <c r="AN118" s="5" t="n">
        <v>9</v>
      </c>
      <c r="AO118" s="29" t="n">
        <v>9</v>
      </c>
      <c r="AP118" s="29" t="b">
        <v>1</v>
      </c>
      <c r="AQ118" s="4" t="n">
        <v>0</v>
      </c>
      <c r="AR118" s="47" t="inlineStr">
        <is>
          <t>No Match Found</t>
        </is>
      </c>
      <c r="AS118" s="47" t="inlineStr">
        <is>
          <t>NA</t>
        </is>
      </c>
      <c r="AT118" s="4" t="n">
        <v>0</v>
      </c>
      <c r="AU118" s="4" t="n">
        <v>0</v>
      </c>
      <c r="AV118" s="47" t="inlineStr">
        <is>
          <t>No Match Found</t>
        </is>
      </c>
      <c r="AW118" s="47" t="inlineStr">
        <is>
          <t>NA</t>
        </is>
      </c>
      <c r="AX118" s="4" t="n">
        <v>0</v>
      </c>
      <c r="AY118" s="47" t="inlineStr">
        <is>
          <t>No Match Found</t>
        </is>
      </c>
      <c r="AZ118" s="47" t="inlineStr">
        <is>
          <t>NA</t>
        </is>
      </c>
      <c r="BA118" s="4" t="n">
        <v>0</v>
      </c>
      <c r="BB118" s="4" t="n">
        <v>0</v>
      </c>
      <c r="BC118" s="4" t="n">
        <v>0</v>
      </c>
      <c r="BD118" s="4" t="n">
        <v>0</v>
      </c>
      <c r="BE118" s="47" t="inlineStr">
        <is>
          <t>No Match Found</t>
        </is>
      </c>
      <c r="BF118" s="47" t="inlineStr">
        <is>
          <t>NA</t>
        </is>
      </c>
      <c r="BG118" s="6" t="n">
        <v>0</v>
      </c>
      <c r="BH118" s="53" t="inlineStr">
        <is>
          <t>No Match Found</t>
        </is>
      </c>
      <c r="BI118" s="53" t="inlineStr">
        <is>
          <t>NA</t>
        </is>
      </c>
      <c r="BJ118" s="4" t="n">
        <v>0</v>
      </c>
      <c r="BK118" s="4" t="n">
        <v>0</v>
      </c>
    </row>
    <row r="119">
      <c r="A119" t="n">
        <v>13</v>
      </c>
      <c r="B119" s="1" t="n"/>
      <c r="C119" s="1" t="n"/>
      <c r="D119" s="1" t="inlineStr"/>
      <c r="E119" s="2" t="n">
        <v>22965</v>
      </c>
      <c r="F119" s="36" t="inlineStr">
        <is>
          <t>No Match Found</t>
        </is>
      </c>
      <c r="G119" s="36" t="inlineStr">
        <is>
          <t>NA</t>
        </is>
      </c>
      <c r="H119" s="24" t="n">
        <v>22965</v>
      </c>
      <c r="I119" s="24" t="b">
        <v>1</v>
      </c>
      <c r="J119" s="2" t="n">
        <v>36171</v>
      </c>
      <c r="K119" s="36" t="inlineStr">
        <is>
          <t>No Match Found</t>
        </is>
      </c>
      <c r="L119" s="36" t="inlineStr">
        <is>
          <t>NA</t>
        </is>
      </c>
      <c r="M119" s="24" t="n">
        <v>36171</v>
      </c>
      <c r="N119" s="24" t="b">
        <v>1</v>
      </c>
      <c r="O119" s="2" t="n">
        <v>36281</v>
      </c>
      <c r="P119" t="inlineStr">
        <is>
          <t>Processed</t>
        </is>
      </c>
      <c r="Q119" s="36" t="inlineStr">
        <is>
          <t>No Match Found</t>
        </is>
      </c>
      <c r="R119" s="36" t="inlineStr">
        <is>
          <t>NA</t>
        </is>
      </c>
      <c r="S119" s="24" t="n">
        <v>36281</v>
      </c>
      <c r="T119" s="24" t="b">
        <v>1</v>
      </c>
      <c r="U119" s="2" t="n">
        <v>44424</v>
      </c>
      <c r="V119" s="36" t="inlineStr">
        <is>
          <t>No Match Found</t>
        </is>
      </c>
      <c r="W119" s="36" t="inlineStr">
        <is>
          <t>NA</t>
        </is>
      </c>
      <c r="X119" s="24" t="n">
        <v>44424</v>
      </c>
      <c r="Y119" s="24" t="b">
        <v>1</v>
      </c>
      <c r="AA119" s="39" t="inlineStr">
        <is>
          <t>No Match Found</t>
        </is>
      </c>
      <c r="AB119" s="39" t="inlineStr">
        <is>
          <t>NA</t>
        </is>
      </c>
      <c r="AD119" s="27" t="b">
        <v>1</v>
      </c>
      <c r="AE119" s="1" t="inlineStr">
        <is>
          <t>X</t>
        </is>
      </c>
      <c r="AF119" s="1" t="inlineStr">
        <is>
          <t>N</t>
        </is>
      </c>
      <c r="AG119" s="3" t="n">
        <v>0</v>
      </c>
      <c r="AH119" s="1" t="inlineStr">
        <is>
          <t>N</t>
        </is>
      </c>
      <c r="AI119" s="1" t="inlineStr">
        <is>
          <t>N</t>
        </is>
      </c>
      <c r="AJ119" s="4" t="n">
        <v>82.59999999999999</v>
      </c>
      <c r="AK119" s="5" t="n">
        <v>0</v>
      </c>
      <c r="AL119" s="41" t="inlineStr">
        <is>
          <t>No Match Found</t>
        </is>
      </c>
      <c r="AM119" s="41" t="inlineStr">
        <is>
          <t>NA</t>
        </is>
      </c>
      <c r="AN119" s="5" t="n">
        <v>23</v>
      </c>
      <c r="AO119" s="29" t="n">
        <v>23</v>
      </c>
      <c r="AP119" s="29" t="b">
        <v>1</v>
      </c>
      <c r="AQ119" s="4" t="n">
        <v>0</v>
      </c>
      <c r="AR119" s="47" t="inlineStr">
        <is>
          <t>No Match Found</t>
        </is>
      </c>
      <c r="AS119" s="47" t="inlineStr">
        <is>
          <t>NA</t>
        </is>
      </c>
      <c r="AT119" s="4" t="n">
        <v>0</v>
      </c>
      <c r="AU119" s="4" t="n">
        <v>0</v>
      </c>
      <c r="AV119" s="47" t="inlineStr">
        <is>
          <t>No Match Found</t>
        </is>
      </c>
      <c r="AW119" s="47" t="inlineStr">
        <is>
          <t>NA</t>
        </is>
      </c>
      <c r="AX119" s="4" t="n">
        <v>0</v>
      </c>
      <c r="AY119" s="47" t="inlineStr">
        <is>
          <t>No Match Found</t>
        </is>
      </c>
      <c r="AZ119" s="47" t="inlineStr">
        <is>
          <t>NA</t>
        </is>
      </c>
      <c r="BA119" s="4" t="n">
        <v>0</v>
      </c>
      <c r="BB119" s="4" t="n">
        <v>0</v>
      </c>
      <c r="BC119" s="4" t="n">
        <v>0</v>
      </c>
      <c r="BD119" s="4" t="n">
        <v>0</v>
      </c>
      <c r="BE119" s="47" t="inlineStr">
        <is>
          <t>No Match Found</t>
        </is>
      </c>
      <c r="BF119" s="47" t="inlineStr">
        <is>
          <t>NA</t>
        </is>
      </c>
      <c r="BG119" s="6" t="n">
        <v>0</v>
      </c>
      <c r="BH119" s="53" t="inlineStr">
        <is>
          <t>No Match Found</t>
        </is>
      </c>
      <c r="BI119" s="53" t="inlineStr">
        <is>
          <t>NA</t>
        </is>
      </c>
      <c r="BJ119" s="4" t="n">
        <v>0</v>
      </c>
      <c r="BK119" s="4" t="n">
        <v>0</v>
      </c>
    </row>
    <row r="120">
      <c r="A120" t="n">
        <v>14</v>
      </c>
      <c r="B120" s="1" t="n"/>
      <c r="C120" s="1" t="n"/>
      <c r="D120" s="1" t="inlineStr"/>
      <c r="E120" s="2" t="n">
        <v>28423</v>
      </c>
      <c r="F120" s="36" t="inlineStr">
        <is>
          <t>No Match Found</t>
        </is>
      </c>
      <c r="G120" s="36" t="inlineStr">
        <is>
          <t>NA</t>
        </is>
      </c>
      <c r="H120" s="24" t="n">
        <v>28423</v>
      </c>
      <c r="I120" s="24" t="b">
        <v>1</v>
      </c>
      <c r="J120" s="2" t="n">
        <v>36431</v>
      </c>
      <c r="K120" s="36" t="inlineStr">
        <is>
          <t>No Match Found</t>
        </is>
      </c>
      <c r="L120" s="36" t="inlineStr">
        <is>
          <t>NA</t>
        </is>
      </c>
      <c r="M120" s="24" t="n">
        <v>36431</v>
      </c>
      <c r="N120" s="24" t="b">
        <v>1</v>
      </c>
      <c r="O120" s="2" t="n">
        <v>36526</v>
      </c>
      <c r="P120" t="inlineStr">
        <is>
          <t>Processed</t>
        </is>
      </c>
      <c r="Q120" s="36" t="inlineStr">
        <is>
          <t>No Match Found</t>
        </is>
      </c>
      <c r="R120" s="36" t="inlineStr">
        <is>
          <t>NA</t>
        </is>
      </c>
      <c r="S120" s="24" t="n">
        <v>36526</v>
      </c>
      <c r="T120" s="24" t="b">
        <v>1</v>
      </c>
      <c r="U120" s="2" t="n">
        <v>41858</v>
      </c>
      <c r="V120" s="36" t="inlineStr">
        <is>
          <t>No Match Found</t>
        </is>
      </c>
      <c r="W120" s="36" t="inlineStr">
        <is>
          <t>NA</t>
        </is>
      </c>
      <c r="X120" s="24" t="n">
        <v>41858</v>
      </c>
      <c r="Y120" s="24" t="b">
        <v>1</v>
      </c>
      <c r="AA120" s="39" t="inlineStr">
        <is>
          <t>No Match Found</t>
        </is>
      </c>
      <c r="AB120" s="39" t="inlineStr">
        <is>
          <t>NA</t>
        </is>
      </c>
      <c r="AD120" s="27" t="b">
        <v>1</v>
      </c>
      <c r="AE120" s="1" t="inlineStr">
        <is>
          <t>X</t>
        </is>
      </c>
      <c r="AF120" s="1" t="inlineStr">
        <is>
          <t>N</t>
        </is>
      </c>
      <c r="AG120" s="3" t="n">
        <v>0</v>
      </c>
      <c r="AH120" s="1" t="inlineStr">
        <is>
          <t>N</t>
        </is>
      </c>
      <c r="AI120" s="1" t="inlineStr">
        <is>
          <t>N</t>
        </is>
      </c>
      <c r="AJ120" s="4" t="n">
        <v>234874.65</v>
      </c>
      <c r="AK120" s="5" t="n">
        <v>0</v>
      </c>
      <c r="AL120" s="41" t="inlineStr">
        <is>
          <t>No Match Found</t>
        </is>
      </c>
      <c r="AM120" s="41" t="inlineStr">
        <is>
          <t>NA</t>
        </is>
      </c>
      <c r="AN120" s="5" t="n">
        <v>22</v>
      </c>
      <c r="AO120" s="29" t="n">
        <v>22</v>
      </c>
      <c r="AP120" s="29" t="b">
        <v>1</v>
      </c>
      <c r="AQ120" s="4" t="n">
        <v>0</v>
      </c>
      <c r="AR120" s="47" t="inlineStr">
        <is>
          <t>No Match Found</t>
        </is>
      </c>
      <c r="AS120" s="47" t="inlineStr">
        <is>
          <t>NA</t>
        </is>
      </c>
      <c r="AT120" s="4" t="n">
        <v>0</v>
      </c>
      <c r="AU120" s="4" t="n">
        <v>0</v>
      </c>
      <c r="AV120" s="47" t="inlineStr">
        <is>
          <t>No Match Found</t>
        </is>
      </c>
      <c r="AW120" s="47" t="inlineStr">
        <is>
          <t>NA</t>
        </is>
      </c>
      <c r="AX120" s="4" t="n">
        <v>0</v>
      </c>
      <c r="AY120" s="47" t="inlineStr">
        <is>
          <t>No Match Found</t>
        </is>
      </c>
      <c r="AZ120" s="47" t="inlineStr">
        <is>
          <t>NA</t>
        </is>
      </c>
      <c r="BA120" s="4" t="n">
        <v>0</v>
      </c>
      <c r="BB120" s="4" t="n">
        <v>0</v>
      </c>
      <c r="BC120" s="4" t="n">
        <v>0</v>
      </c>
      <c r="BD120" s="4" t="n">
        <v>0</v>
      </c>
      <c r="BE120" s="47" t="inlineStr">
        <is>
          <t>No Match Found</t>
        </is>
      </c>
      <c r="BF120" s="47" t="inlineStr">
        <is>
          <t>NA</t>
        </is>
      </c>
      <c r="BG120" s="6" t="n">
        <v>0</v>
      </c>
      <c r="BH120" s="53" t="inlineStr">
        <is>
          <t>No Match Found</t>
        </is>
      </c>
      <c r="BI120" s="53" t="inlineStr">
        <is>
          <t>NA</t>
        </is>
      </c>
      <c r="BJ120" s="4" t="n">
        <v>0</v>
      </c>
      <c r="BK120" s="4" t="n">
        <v>0</v>
      </c>
    </row>
    <row r="121">
      <c r="A121" t="n">
        <v>15</v>
      </c>
      <c r="B121" s="1" t="n"/>
      <c r="C121" s="1" t="n"/>
      <c r="D121" s="1" t="inlineStr"/>
      <c r="E121" s="2" t="n">
        <v>28059</v>
      </c>
      <c r="F121" s="36" t="inlineStr">
        <is>
          <t>No Match Found</t>
        </is>
      </c>
      <c r="G121" s="36" t="inlineStr">
        <is>
          <t>NA</t>
        </is>
      </c>
      <c r="H121" s="24" t="n">
        <v>28059</v>
      </c>
      <c r="I121" s="24" t="b">
        <v>1</v>
      </c>
      <c r="J121" s="2" t="n">
        <v>37011</v>
      </c>
      <c r="K121" s="36" t="inlineStr">
        <is>
          <t>No Match Found</t>
        </is>
      </c>
      <c r="L121" s="36" t="inlineStr">
        <is>
          <t>NA</t>
        </is>
      </c>
      <c r="M121" s="24" t="n">
        <v>37011</v>
      </c>
      <c r="N121" s="24" t="b">
        <v>1</v>
      </c>
      <c r="O121" s="2" t="n">
        <v>37104</v>
      </c>
      <c r="P121" t="inlineStr">
        <is>
          <t>Processed</t>
        </is>
      </c>
      <c r="Q121" s="36" t="inlineStr">
        <is>
          <t>No Match Found</t>
        </is>
      </c>
      <c r="R121" s="36" t="inlineStr">
        <is>
          <t>NA</t>
        </is>
      </c>
      <c r="S121" s="24" t="n">
        <v>37104</v>
      </c>
      <c r="T121" s="24" t="b">
        <v>1</v>
      </c>
      <c r="U121" s="2" t="n">
        <v>41736</v>
      </c>
      <c r="V121" s="36" t="inlineStr">
        <is>
          <t>No Match Found</t>
        </is>
      </c>
      <c r="W121" s="36" t="inlineStr">
        <is>
          <t>NA</t>
        </is>
      </c>
      <c r="X121" s="24" t="n">
        <v>41736</v>
      </c>
      <c r="Y121" s="24" t="b">
        <v>1</v>
      </c>
      <c r="AA121" s="39" t="inlineStr">
        <is>
          <t>No Match Found</t>
        </is>
      </c>
      <c r="AB121" s="39" t="inlineStr">
        <is>
          <t>NA</t>
        </is>
      </c>
      <c r="AD121" s="27" t="b">
        <v>1</v>
      </c>
      <c r="AE121" s="1" t="inlineStr">
        <is>
          <t>X</t>
        </is>
      </c>
      <c r="AF121" s="1" t="inlineStr">
        <is>
          <t>N</t>
        </is>
      </c>
      <c r="AG121" s="3" t="n">
        <v>0</v>
      </c>
      <c r="AH121" s="1" t="inlineStr">
        <is>
          <t>N</t>
        </is>
      </c>
      <c r="AI121" s="1" t="inlineStr">
        <is>
          <t>N</t>
        </is>
      </c>
      <c r="AJ121" s="4" t="n">
        <v>337550.38</v>
      </c>
      <c r="AK121" s="5" t="n">
        <v>0</v>
      </c>
      <c r="AL121" s="41" t="inlineStr">
        <is>
          <t>No Match Found</t>
        </is>
      </c>
      <c r="AM121" s="41" t="inlineStr">
        <is>
          <t>NA</t>
        </is>
      </c>
      <c r="AN121" s="5" t="n">
        <v>13</v>
      </c>
      <c r="AO121" s="29" t="n">
        <v>13</v>
      </c>
      <c r="AP121" s="29" t="b">
        <v>1</v>
      </c>
      <c r="AQ121" s="4" t="n">
        <v>0</v>
      </c>
      <c r="AR121" s="47" t="inlineStr">
        <is>
          <t>No Match Found</t>
        </is>
      </c>
      <c r="AS121" s="47" t="inlineStr">
        <is>
          <t>NA</t>
        </is>
      </c>
      <c r="AT121" s="4" t="n">
        <v>0</v>
      </c>
      <c r="AU121" s="4" t="n">
        <v>0</v>
      </c>
      <c r="AV121" s="47" t="inlineStr">
        <is>
          <t>No Match Found</t>
        </is>
      </c>
      <c r="AW121" s="47" t="inlineStr">
        <is>
          <t>NA</t>
        </is>
      </c>
      <c r="AX121" s="4" t="n">
        <v>0</v>
      </c>
      <c r="AY121" s="47" t="inlineStr">
        <is>
          <t>No Match Found</t>
        </is>
      </c>
      <c r="AZ121" s="47" t="inlineStr">
        <is>
          <t>NA</t>
        </is>
      </c>
      <c r="BA121" s="4" t="n">
        <v>0</v>
      </c>
      <c r="BB121" s="4" t="n">
        <v>0</v>
      </c>
      <c r="BC121" s="4" t="n">
        <v>0</v>
      </c>
      <c r="BD121" s="4" t="n">
        <v>0</v>
      </c>
      <c r="BE121" s="47" t="inlineStr">
        <is>
          <t>No Match Found</t>
        </is>
      </c>
      <c r="BF121" s="47" t="inlineStr">
        <is>
          <t>NA</t>
        </is>
      </c>
      <c r="BG121" s="6" t="n">
        <v>0</v>
      </c>
      <c r="BH121" s="53" t="inlineStr">
        <is>
          <t>No Match Found</t>
        </is>
      </c>
      <c r="BI121" s="53" t="inlineStr">
        <is>
          <t>NA</t>
        </is>
      </c>
      <c r="BJ121" s="4" t="n">
        <v>0</v>
      </c>
      <c r="BK121" s="4" t="n">
        <v>0</v>
      </c>
    </row>
    <row r="122">
      <c r="A122" t="n">
        <v>16</v>
      </c>
      <c r="B122" s="1" t="n"/>
      <c r="C122" s="1" t="n"/>
      <c r="D122" s="1" t="inlineStr"/>
      <c r="E122" s="2" t="n">
        <v>28562</v>
      </c>
      <c r="F122" s="36" t="inlineStr">
        <is>
          <t>No Match Found</t>
        </is>
      </c>
      <c r="G122" s="36" t="inlineStr">
        <is>
          <t>NA</t>
        </is>
      </c>
      <c r="H122" s="24" t="n">
        <v>28562</v>
      </c>
      <c r="I122" s="24" t="b">
        <v>1</v>
      </c>
      <c r="J122" s="2" t="n">
        <v>37690</v>
      </c>
      <c r="K122" s="36" t="inlineStr">
        <is>
          <t>No Match Found</t>
        </is>
      </c>
      <c r="L122" s="36" t="inlineStr">
        <is>
          <t>NA</t>
        </is>
      </c>
      <c r="M122" s="24" t="n">
        <v>37690</v>
      </c>
      <c r="N122" s="24" t="b">
        <v>1</v>
      </c>
      <c r="O122" s="2" t="n">
        <v>37803</v>
      </c>
      <c r="P122" t="inlineStr">
        <is>
          <t>Processed</t>
        </is>
      </c>
      <c r="Q122" s="36" t="inlineStr">
        <is>
          <t>No Match Found</t>
        </is>
      </c>
      <c r="R122" s="36" t="inlineStr">
        <is>
          <t>NA</t>
        </is>
      </c>
      <c r="S122" s="24" t="n">
        <v>37803</v>
      </c>
      <c r="T122" s="24" t="b">
        <v>1</v>
      </c>
      <c r="U122" s="2" t="n">
        <v>39107</v>
      </c>
      <c r="V122" s="36" t="inlineStr">
        <is>
          <t>No Match Found</t>
        </is>
      </c>
      <c r="W122" s="36" t="inlineStr">
        <is>
          <t>NA</t>
        </is>
      </c>
      <c r="X122" s="24" t="n">
        <v>39107</v>
      </c>
      <c r="Y122" s="24" t="b">
        <v>1</v>
      </c>
      <c r="AA122" s="39" t="inlineStr">
        <is>
          <t>No Match Found</t>
        </is>
      </c>
      <c r="AB122" s="39" t="inlineStr">
        <is>
          <t>NA</t>
        </is>
      </c>
      <c r="AD122" s="27" t="b">
        <v>1</v>
      </c>
      <c r="AE122" s="1" t="inlineStr">
        <is>
          <t>X</t>
        </is>
      </c>
      <c r="AF122" s="1" t="inlineStr">
        <is>
          <t>N</t>
        </is>
      </c>
      <c r="AG122" s="3" t="n">
        <v>0</v>
      </c>
      <c r="AH122" s="1" t="inlineStr">
        <is>
          <t>N</t>
        </is>
      </c>
      <c r="AI122" s="1" t="inlineStr">
        <is>
          <t>N</t>
        </is>
      </c>
      <c r="AJ122" s="4" t="n">
        <v>85398.07000000001</v>
      </c>
      <c r="AK122" s="5" t="n">
        <v>0</v>
      </c>
      <c r="AL122" s="41" t="inlineStr">
        <is>
          <t>No Match Found</t>
        </is>
      </c>
      <c r="AM122" s="41" t="inlineStr">
        <is>
          <t>NA</t>
        </is>
      </c>
      <c r="AN122" s="5" t="n">
        <v>31</v>
      </c>
      <c r="AO122" s="29" t="n">
        <v>31</v>
      </c>
      <c r="AP122" s="29" t="b">
        <v>1</v>
      </c>
      <c r="AQ122" s="4" t="n">
        <v>0</v>
      </c>
      <c r="AR122" s="47" t="inlineStr">
        <is>
          <t>No Match Found</t>
        </is>
      </c>
      <c r="AS122" s="47" t="inlineStr">
        <is>
          <t>NA</t>
        </is>
      </c>
      <c r="AT122" s="4" t="n">
        <v>0</v>
      </c>
      <c r="AU122" s="4" t="n">
        <v>0</v>
      </c>
      <c r="AV122" s="47" t="inlineStr">
        <is>
          <t>No Match Found</t>
        </is>
      </c>
      <c r="AW122" s="47" t="inlineStr">
        <is>
          <t>NA</t>
        </is>
      </c>
      <c r="AX122" s="4" t="n">
        <v>0</v>
      </c>
      <c r="AY122" s="47" t="inlineStr">
        <is>
          <t>No Match Found</t>
        </is>
      </c>
      <c r="AZ122" s="47" t="inlineStr">
        <is>
          <t>NA</t>
        </is>
      </c>
      <c r="BA122" s="4" t="n">
        <v>0</v>
      </c>
      <c r="BB122" s="4" t="n">
        <v>0</v>
      </c>
      <c r="BC122" s="4" t="n">
        <v>0</v>
      </c>
      <c r="BD122" s="4" t="n">
        <v>0</v>
      </c>
      <c r="BE122" s="47" t="inlineStr">
        <is>
          <t>No Match Found</t>
        </is>
      </c>
      <c r="BF122" s="47" t="inlineStr">
        <is>
          <t>NA</t>
        </is>
      </c>
      <c r="BG122" s="6" t="n">
        <v>0</v>
      </c>
      <c r="BH122" s="53" t="inlineStr">
        <is>
          <t>No Match Found</t>
        </is>
      </c>
      <c r="BI122" s="53" t="inlineStr">
        <is>
          <t>NA</t>
        </is>
      </c>
      <c r="BJ122" s="4" t="n">
        <v>0</v>
      </c>
      <c r="BK122" s="4" t="n">
        <v>0</v>
      </c>
    </row>
    <row r="123">
      <c r="A123" t="n">
        <v>17</v>
      </c>
      <c r="B123" s="1" t="n"/>
      <c r="C123" s="1" t="n"/>
      <c r="D123" s="1" t="inlineStr"/>
      <c r="E123" s="2" t="n">
        <v>23890</v>
      </c>
      <c r="F123" s="36" t="inlineStr">
        <is>
          <t>No Match Found</t>
        </is>
      </c>
      <c r="G123" s="36" t="inlineStr">
        <is>
          <t>NA</t>
        </is>
      </c>
      <c r="H123" s="24" t="n">
        <v>23890</v>
      </c>
      <c r="I123" s="24" t="b">
        <v>1</v>
      </c>
      <c r="J123" s="2" t="n">
        <v>38174</v>
      </c>
      <c r="K123" s="36" t="inlineStr">
        <is>
          <t>No Match Found</t>
        </is>
      </c>
      <c r="L123" s="36" t="inlineStr">
        <is>
          <t>NA</t>
        </is>
      </c>
      <c r="M123" s="24" t="n">
        <v>38174</v>
      </c>
      <c r="N123" s="24" t="b">
        <v>1</v>
      </c>
      <c r="O123" s="2" t="n">
        <v>38174</v>
      </c>
      <c r="P123" t="inlineStr">
        <is>
          <t>Processed</t>
        </is>
      </c>
      <c r="Q123" s="36" t="inlineStr">
        <is>
          <t>No Match Found</t>
        </is>
      </c>
      <c r="R123" s="36" t="inlineStr">
        <is>
          <t>NA</t>
        </is>
      </c>
      <c r="S123" s="24" t="n">
        <v>38174</v>
      </c>
      <c r="T123" s="24" t="b">
        <v>1</v>
      </c>
      <c r="U123" s="2" t="n">
        <v>38933</v>
      </c>
      <c r="V123" s="36" t="inlineStr">
        <is>
          <t>No Match Found</t>
        </is>
      </c>
      <c r="W123" s="36" t="inlineStr">
        <is>
          <t>NA</t>
        </is>
      </c>
      <c r="X123" s="24" t="n">
        <v>38933</v>
      </c>
      <c r="Y123" s="24" t="b">
        <v>1</v>
      </c>
      <c r="AA123" s="39" t="inlineStr">
        <is>
          <t>No Match Found</t>
        </is>
      </c>
      <c r="AB123" s="39" t="inlineStr">
        <is>
          <t>NA</t>
        </is>
      </c>
      <c r="AD123" s="27" t="b">
        <v>1</v>
      </c>
      <c r="AE123" s="1" t="inlineStr">
        <is>
          <t>X</t>
        </is>
      </c>
      <c r="AF123" s="1" t="inlineStr">
        <is>
          <t>N</t>
        </is>
      </c>
      <c r="AG123" s="3" t="n">
        <v>0</v>
      </c>
      <c r="AH123" s="1" t="inlineStr">
        <is>
          <t>N</t>
        </is>
      </c>
      <c r="AI123" s="1" t="inlineStr">
        <is>
          <t>N</t>
        </is>
      </c>
      <c r="AJ123" s="4" t="n">
        <v>69793.92</v>
      </c>
      <c r="AK123" s="5" t="n">
        <v>0</v>
      </c>
      <c r="AL123" s="41" t="inlineStr">
        <is>
          <t>No Match Found</t>
        </is>
      </c>
      <c r="AM123" s="41" t="inlineStr">
        <is>
          <t>NA</t>
        </is>
      </c>
      <c r="AN123" s="5" t="n">
        <v>22</v>
      </c>
      <c r="AO123" s="29" t="n">
        <v>22</v>
      </c>
      <c r="AP123" s="29" t="b">
        <v>1</v>
      </c>
      <c r="AQ123" s="4" t="n">
        <v>0</v>
      </c>
      <c r="AR123" s="47" t="inlineStr">
        <is>
          <t>No Match Found</t>
        </is>
      </c>
      <c r="AS123" s="47" t="inlineStr">
        <is>
          <t>NA</t>
        </is>
      </c>
      <c r="AT123" s="4" t="n">
        <v>0</v>
      </c>
      <c r="AU123" s="4" t="n">
        <v>0</v>
      </c>
      <c r="AV123" s="47" t="inlineStr">
        <is>
          <t>No Match Found</t>
        </is>
      </c>
      <c r="AW123" s="47" t="inlineStr">
        <is>
          <t>NA</t>
        </is>
      </c>
      <c r="AX123" s="4" t="n">
        <v>0</v>
      </c>
      <c r="AY123" s="47" t="inlineStr">
        <is>
          <t>No Match Found</t>
        </is>
      </c>
      <c r="AZ123" s="47" t="inlineStr">
        <is>
          <t>NA</t>
        </is>
      </c>
      <c r="BA123" s="4" t="n">
        <v>0</v>
      </c>
      <c r="BB123" s="4" t="n">
        <v>0</v>
      </c>
      <c r="BC123" s="4" t="n">
        <v>0</v>
      </c>
      <c r="BD123" s="4" t="n">
        <v>0</v>
      </c>
      <c r="BE123" s="47" t="inlineStr">
        <is>
          <t>No Match Found</t>
        </is>
      </c>
      <c r="BF123" s="47" t="inlineStr">
        <is>
          <t>NA</t>
        </is>
      </c>
      <c r="BG123" s="6" t="n">
        <v>0</v>
      </c>
      <c r="BH123" s="53" t="inlineStr">
        <is>
          <t>No Match Found</t>
        </is>
      </c>
      <c r="BI123" s="53" t="inlineStr">
        <is>
          <t>NA</t>
        </is>
      </c>
      <c r="BJ123" s="4" t="n">
        <v>0</v>
      </c>
      <c r="BK123" s="4" t="n">
        <v>0</v>
      </c>
    </row>
    <row r="124">
      <c r="A124" t="n">
        <v>18</v>
      </c>
      <c r="B124" s="1" t="n"/>
      <c r="C124" s="1" t="n"/>
      <c r="D124" s="1" t="inlineStr"/>
      <c r="E124" s="2" t="n">
        <v>31374</v>
      </c>
      <c r="F124" s="36" t="inlineStr">
        <is>
          <t>No Match Found</t>
        </is>
      </c>
      <c r="G124" s="36" t="inlineStr">
        <is>
          <t>NA</t>
        </is>
      </c>
      <c r="H124" s="24" t="n">
        <v>31374</v>
      </c>
      <c r="I124" s="24" t="b">
        <v>1</v>
      </c>
      <c r="J124" s="2" t="n">
        <v>38593</v>
      </c>
      <c r="K124" s="36" t="inlineStr">
        <is>
          <t>No Match Found</t>
        </is>
      </c>
      <c r="L124" s="36" t="inlineStr">
        <is>
          <t>NA</t>
        </is>
      </c>
      <c r="M124" s="24" t="n">
        <v>38593</v>
      </c>
      <c r="N124" s="24" t="b">
        <v>1</v>
      </c>
      <c r="O124" s="2" t="n">
        <v>38687</v>
      </c>
      <c r="P124" t="inlineStr">
        <is>
          <t>Processed</t>
        </is>
      </c>
      <c r="Q124" s="36" t="inlineStr">
        <is>
          <t>No Match Found</t>
        </is>
      </c>
      <c r="R124" s="36" t="inlineStr">
        <is>
          <t>NA</t>
        </is>
      </c>
      <c r="S124" s="24" t="n">
        <v>38687</v>
      </c>
      <c r="T124" s="24" t="b">
        <v>1</v>
      </c>
      <c r="U124" s="2" t="n">
        <v>39150</v>
      </c>
      <c r="V124" s="36" t="inlineStr">
        <is>
          <t>No Match Found</t>
        </is>
      </c>
      <c r="W124" s="36" t="inlineStr">
        <is>
          <t>NA</t>
        </is>
      </c>
      <c r="X124" s="24" t="n">
        <v>39150</v>
      </c>
      <c r="Y124" s="24" t="b">
        <v>1</v>
      </c>
      <c r="AA124" s="39" t="inlineStr">
        <is>
          <t>No Match Found</t>
        </is>
      </c>
      <c r="AB124" s="39" t="inlineStr">
        <is>
          <t>NA</t>
        </is>
      </c>
      <c r="AD124" s="27" t="b">
        <v>1</v>
      </c>
      <c r="AE124" s="1" t="inlineStr">
        <is>
          <t>X</t>
        </is>
      </c>
      <c r="AF124" s="1" t="inlineStr">
        <is>
          <t>N</t>
        </is>
      </c>
      <c r="AG124" s="3" t="n">
        <v>0</v>
      </c>
      <c r="AH124" s="1" t="inlineStr">
        <is>
          <t>N</t>
        </is>
      </c>
      <c r="AI124" s="1" t="inlineStr">
        <is>
          <t>N</t>
        </is>
      </c>
      <c r="AJ124" s="4" t="n">
        <v>529.55</v>
      </c>
      <c r="AK124" s="5" t="n">
        <v>0</v>
      </c>
      <c r="AL124" s="41" t="inlineStr">
        <is>
          <t>No Match Found</t>
        </is>
      </c>
      <c r="AM124" s="41" t="inlineStr">
        <is>
          <t>NA</t>
        </is>
      </c>
      <c r="AN124" s="5" t="n">
        <v>1</v>
      </c>
      <c r="AO124" s="29" t="n">
        <v>1</v>
      </c>
      <c r="AP124" s="29" t="b">
        <v>1</v>
      </c>
      <c r="AQ124" s="4" t="n">
        <v>0</v>
      </c>
      <c r="AR124" s="47" t="inlineStr">
        <is>
          <t>No Match Found</t>
        </is>
      </c>
      <c r="AS124" s="47" t="inlineStr">
        <is>
          <t>NA</t>
        </is>
      </c>
      <c r="AT124" s="4" t="n">
        <v>0</v>
      </c>
      <c r="AU124" s="4" t="n">
        <v>0</v>
      </c>
      <c r="AV124" s="47" t="inlineStr">
        <is>
          <t>No Match Found</t>
        </is>
      </c>
      <c r="AW124" s="47" t="inlineStr">
        <is>
          <t>NA</t>
        </is>
      </c>
      <c r="AX124" s="4" t="n">
        <v>0</v>
      </c>
      <c r="AY124" s="47" t="inlineStr">
        <is>
          <t>No Match Found</t>
        </is>
      </c>
      <c r="AZ124" s="47" t="inlineStr">
        <is>
          <t>NA</t>
        </is>
      </c>
      <c r="BA124" s="4" t="n">
        <v>0</v>
      </c>
      <c r="BB124" s="4" t="n">
        <v>0</v>
      </c>
      <c r="BC124" s="4" t="n">
        <v>0</v>
      </c>
      <c r="BD124" s="4" t="n">
        <v>0</v>
      </c>
      <c r="BE124" s="47" t="inlineStr">
        <is>
          <t>No Match Found</t>
        </is>
      </c>
      <c r="BF124" s="47" t="inlineStr">
        <is>
          <t>NA</t>
        </is>
      </c>
      <c r="BG124" s="6" t="n">
        <v>0</v>
      </c>
      <c r="BH124" s="53" t="inlineStr">
        <is>
          <t>No Match Found</t>
        </is>
      </c>
      <c r="BI124" s="53" t="inlineStr">
        <is>
          <t>NA</t>
        </is>
      </c>
      <c r="BJ124" s="4" t="n">
        <v>0</v>
      </c>
      <c r="BK124" s="4" t="n">
        <v>0</v>
      </c>
    </row>
    <row r="125">
      <c r="A125" t="n">
        <v>19</v>
      </c>
      <c r="B125" s="1" t="n"/>
      <c r="C125" s="1" t="n"/>
      <c r="D125" s="1" t="inlineStr"/>
      <c r="E125" s="2" t="n">
        <v>31092</v>
      </c>
      <c r="F125" s="36" t="inlineStr">
        <is>
          <t>No Match Found</t>
        </is>
      </c>
      <c r="G125" s="36" t="inlineStr">
        <is>
          <t>NA</t>
        </is>
      </c>
      <c r="H125" s="24" t="n">
        <v>31092</v>
      </c>
      <c r="I125" s="24" t="b">
        <v>1</v>
      </c>
      <c r="J125" s="2" t="n">
        <v>38845</v>
      </c>
      <c r="K125" s="36" t="inlineStr">
        <is>
          <t>No Match Found</t>
        </is>
      </c>
      <c r="L125" s="36" t="inlineStr">
        <is>
          <t>NA</t>
        </is>
      </c>
      <c r="M125" s="24" t="n">
        <v>38845</v>
      </c>
      <c r="N125" s="24" t="b">
        <v>1</v>
      </c>
      <c r="O125" s="2" t="n">
        <v>39769</v>
      </c>
      <c r="P125" t="inlineStr">
        <is>
          <t>Processed</t>
        </is>
      </c>
      <c r="Q125" s="36" t="inlineStr">
        <is>
          <t>No Match Found</t>
        </is>
      </c>
      <c r="R125" s="36" t="inlineStr">
        <is>
          <t>NA</t>
        </is>
      </c>
      <c r="S125" s="24" t="n">
        <v>39769</v>
      </c>
      <c r="T125" s="24" t="b">
        <v>1</v>
      </c>
      <c r="U125" s="2" t="n">
        <v>44330</v>
      </c>
      <c r="V125" s="36" t="inlineStr">
        <is>
          <t>No Match Found</t>
        </is>
      </c>
      <c r="W125" s="36" t="inlineStr">
        <is>
          <t>NA</t>
        </is>
      </c>
      <c r="X125" s="24" t="n">
        <v>44330</v>
      </c>
      <c r="Y125" s="24" t="b">
        <v>1</v>
      </c>
      <c r="Z125" s="2" t="n">
        <v>39769</v>
      </c>
      <c r="AA125" s="36" t="inlineStr">
        <is>
          <t>No Match Found</t>
        </is>
      </c>
      <c r="AB125" s="36" t="inlineStr">
        <is>
          <t>NA</t>
        </is>
      </c>
      <c r="AC125" s="24" t="n">
        <v>39769</v>
      </c>
      <c r="AD125" s="24" t="b">
        <v>1</v>
      </c>
      <c r="AE125" s="1" t="inlineStr">
        <is>
          <t>X</t>
        </is>
      </c>
      <c r="AF125" s="1" t="inlineStr">
        <is>
          <t>N</t>
        </is>
      </c>
      <c r="AG125" s="3" t="n">
        <v>0</v>
      </c>
      <c r="AH125" s="1" t="inlineStr">
        <is>
          <t>N</t>
        </is>
      </c>
      <c r="AI125" s="1" t="inlineStr">
        <is>
          <t>N</t>
        </is>
      </c>
      <c r="AJ125" s="4" t="n">
        <v>0</v>
      </c>
      <c r="AK125" s="5" t="n">
        <v>0</v>
      </c>
      <c r="AL125" s="41" t="inlineStr">
        <is>
          <t>No Match Found</t>
        </is>
      </c>
      <c r="AM125" s="41" t="inlineStr">
        <is>
          <t>NA</t>
        </is>
      </c>
      <c r="AN125" s="5" t="n">
        <v>12</v>
      </c>
      <c r="AO125" s="29" t="n">
        <v>12</v>
      </c>
      <c r="AP125" s="29" t="b">
        <v>1</v>
      </c>
      <c r="AQ125" s="4" t="n">
        <v>0</v>
      </c>
      <c r="AR125" s="47" t="inlineStr">
        <is>
          <t>No Match Found</t>
        </is>
      </c>
      <c r="AS125" s="47" t="inlineStr">
        <is>
          <t>NA</t>
        </is>
      </c>
      <c r="AT125" s="4" t="n">
        <v>0</v>
      </c>
      <c r="AU125" s="4" t="n">
        <v>0</v>
      </c>
      <c r="AV125" s="47" t="inlineStr">
        <is>
          <t>No Match Found</t>
        </is>
      </c>
      <c r="AW125" s="47" t="inlineStr">
        <is>
          <t>NA</t>
        </is>
      </c>
      <c r="AX125" s="4" t="n">
        <v>0</v>
      </c>
      <c r="AY125" s="47" t="inlineStr">
        <is>
          <t>No Match Found</t>
        </is>
      </c>
      <c r="AZ125" s="47" t="inlineStr">
        <is>
          <t>NA</t>
        </is>
      </c>
      <c r="BA125" s="4" t="n">
        <v>0</v>
      </c>
      <c r="BB125" s="4" t="n">
        <v>0</v>
      </c>
      <c r="BC125" s="4" t="n">
        <v>0</v>
      </c>
      <c r="BD125" s="4" t="n">
        <v>0</v>
      </c>
      <c r="BE125" s="47" t="inlineStr">
        <is>
          <t>No Match Found</t>
        </is>
      </c>
      <c r="BF125" s="47" t="inlineStr">
        <is>
          <t>NA</t>
        </is>
      </c>
      <c r="BG125" s="6" t="n">
        <v>0</v>
      </c>
      <c r="BH125" s="53" t="inlineStr">
        <is>
          <t>No Match Found</t>
        </is>
      </c>
      <c r="BI125" s="53" t="inlineStr">
        <is>
          <t>NA</t>
        </is>
      </c>
      <c r="BJ125" s="4" t="n">
        <v>0</v>
      </c>
      <c r="BK125" s="4" t="n">
        <v>0</v>
      </c>
    </row>
    <row r="126">
      <c r="A126" t="n">
        <v>20</v>
      </c>
      <c r="B126" s="1" t="n"/>
      <c r="C126" s="1" t="n"/>
      <c r="D126" s="1" t="inlineStr"/>
      <c r="E126" s="2" t="n">
        <v>32587</v>
      </c>
      <c r="F126" s="36" t="inlineStr">
        <is>
          <t>No Match Found</t>
        </is>
      </c>
      <c r="G126" s="36" t="inlineStr">
        <is>
          <t>NA</t>
        </is>
      </c>
      <c r="H126" s="24" t="n">
        <v>32587</v>
      </c>
      <c r="I126" s="24" t="b">
        <v>1</v>
      </c>
      <c r="J126" s="2" t="n">
        <v>39111</v>
      </c>
      <c r="K126" s="36" t="inlineStr">
        <is>
          <t>No Match Found</t>
        </is>
      </c>
      <c r="L126" s="36" t="inlineStr">
        <is>
          <t>NA</t>
        </is>
      </c>
      <c r="M126" s="24" t="n">
        <v>39111</v>
      </c>
      <c r="N126" s="24" t="b">
        <v>1</v>
      </c>
      <c r="O126" s="2" t="n">
        <v>39203</v>
      </c>
      <c r="P126" t="inlineStr">
        <is>
          <t>Processed</t>
        </is>
      </c>
      <c r="Q126" s="36" t="inlineStr">
        <is>
          <t>No Match Found</t>
        </is>
      </c>
      <c r="R126" s="36" t="inlineStr">
        <is>
          <t>NA</t>
        </is>
      </c>
      <c r="S126" s="24" t="n">
        <v>39203</v>
      </c>
      <c r="T126" s="24" t="b">
        <v>1</v>
      </c>
      <c r="U126" s="2" t="n">
        <v>40177</v>
      </c>
      <c r="V126" s="36" t="inlineStr">
        <is>
          <t>No Match Found</t>
        </is>
      </c>
      <c r="W126" s="36" t="inlineStr">
        <is>
          <t>NA</t>
        </is>
      </c>
      <c r="X126" s="24" t="n">
        <v>40177</v>
      </c>
      <c r="Y126" s="24" t="b">
        <v>1</v>
      </c>
      <c r="AA126" s="39" t="inlineStr">
        <is>
          <t>No Match Found</t>
        </is>
      </c>
      <c r="AB126" s="39" t="inlineStr">
        <is>
          <t>NA</t>
        </is>
      </c>
      <c r="AD126" s="27" t="b">
        <v>1</v>
      </c>
      <c r="AE126" s="1" t="inlineStr">
        <is>
          <t>X</t>
        </is>
      </c>
      <c r="AF126" s="1" t="inlineStr">
        <is>
          <t>N</t>
        </is>
      </c>
      <c r="AG126" s="3" t="n">
        <v>0</v>
      </c>
      <c r="AH126" s="1" t="inlineStr">
        <is>
          <t>N</t>
        </is>
      </c>
      <c r="AI126" s="1" t="inlineStr">
        <is>
          <t>N</t>
        </is>
      </c>
      <c r="AJ126" s="4" t="n">
        <v>1959.87</v>
      </c>
      <c r="AK126" s="5" t="n">
        <v>0</v>
      </c>
      <c r="AL126" s="41" t="inlineStr">
        <is>
          <t>No Match Found</t>
        </is>
      </c>
      <c r="AM126" s="41" t="inlineStr">
        <is>
          <t>NA</t>
        </is>
      </c>
      <c r="AN126" s="5" t="n">
        <v>3</v>
      </c>
      <c r="AO126" s="29" t="n">
        <v>3</v>
      </c>
      <c r="AP126" s="29" t="b">
        <v>1</v>
      </c>
      <c r="AQ126" s="4" t="n">
        <v>0</v>
      </c>
      <c r="AR126" s="47" t="inlineStr">
        <is>
          <t>No Match Found</t>
        </is>
      </c>
      <c r="AS126" s="47" t="inlineStr">
        <is>
          <t>NA</t>
        </is>
      </c>
      <c r="AT126" s="4" t="n">
        <v>0</v>
      </c>
      <c r="AU126" s="4" t="n">
        <v>0</v>
      </c>
      <c r="AV126" s="47" t="inlineStr">
        <is>
          <t>No Match Found</t>
        </is>
      </c>
      <c r="AW126" s="47" t="inlineStr">
        <is>
          <t>NA</t>
        </is>
      </c>
      <c r="AX126" s="4" t="n">
        <v>0</v>
      </c>
      <c r="AY126" s="47" t="inlineStr">
        <is>
          <t>No Match Found</t>
        </is>
      </c>
      <c r="AZ126" s="47" t="inlineStr">
        <is>
          <t>NA</t>
        </is>
      </c>
      <c r="BA126" s="4" t="n">
        <v>0</v>
      </c>
      <c r="BB126" s="4" t="n">
        <v>0</v>
      </c>
      <c r="BC126" s="4" t="n">
        <v>0</v>
      </c>
      <c r="BD126" s="4" t="n">
        <v>0</v>
      </c>
      <c r="BE126" s="47" t="inlineStr">
        <is>
          <t>No Match Found</t>
        </is>
      </c>
      <c r="BF126" s="47" t="inlineStr">
        <is>
          <t>NA</t>
        </is>
      </c>
      <c r="BG126" s="6" t="n">
        <v>0</v>
      </c>
      <c r="BH126" s="53" t="inlineStr">
        <is>
          <t>No Match Found</t>
        </is>
      </c>
      <c r="BI126" s="53" t="inlineStr">
        <is>
          <t>NA</t>
        </is>
      </c>
      <c r="BJ126" s="4" t="n">
        <v>0</v>
      </c>
      <c r="BK126" s="4" t="n">
        <v>0</v>
      </c>
    </row>
    <row r="127">
      <c r="A127" t="n">
        <v>21</v>
      </c>
      <c r="B127" s="1" t="n"/>
      <c r="C127" s="1" t="n"/>
      <c r="D127" s="1" t="inlineStr"/>
      <c r="E127" s="2" t="n">
        <v>33408</v>
      </c>
      <c r="F127" s="36" t="inlineStr">
        <is>
          <t>No Match Found</t>
        </is>
      </c>
      <c r="G127" s="36" t="inlineStr">
        <is>
          <t>NA</t>
        </is>
      </c>
      <c r="H127" s="24" t="n">
        <v>33408</v>
      </c>
      <c r="I127" s="24" t="b">
        <v>1</v>
      </c>
      <c r="J127" s="2" t="n">
        <v>39372</v>
      </c>
      <c r="K127" s="36" t="inlineStr">
        <is>
          <t>No Match Found</t>
        </is>
      </c>
      <c r="L127" s="36" t="inlineStr">
        <is>
          <t>NA</t>
        </is>
      </c>
      <c r="M127" s="24" t="n">
        <v>39372</v>
      </c>
      <c r="N127" s="24" t="b">
        <v>1</v>
      </c>
      <c r="O127" s="2" t="n">
        <v>39959</v>
      </c>
      <c r="P127" t="inlineStr">
        <is>
          <t>Processed</t>
        </is>
      </c>
      <c r="Q127" s="36" t="inlineStr">
        <is>
          <t>No Match Found</t>
        </is>
      </c>
      <c r="R127" s="36" t="inlineStr">
        <is>
          <t>NA</t>
        </is>
      </c>
      <c r="S127" s="24" t="n">
        <v>39959</v>
      </c>
      <c r="T127" s="24" t="b">
        <v>1</v>
      </c>
      <c r="U127" s="2" t="n">
        <v>40053</v>
      </c>
      <c r="V127" s="36" t="inlineStr">
        <is>
          <t>No Match Found</t>
        </is>
      </c>
      <c r="W127" s="36" t="inlineStr">
        <is>
          <t>NA</t>
        </is>
      </c>
      <c r="X127" s="24" t="n">
        <v>40053</v>
      </c>
      <c r="Y127" s="24" t="b">
        <v>1</v>
      </c>
      <c r="AA127" s="39" t="inlineStr">
        <is>
          <t>No Match Found</t>
        </is>
      </c>
      <c r="AB127" s="39" t="inlineStr">
        <is>
          <t>NA</t>
        </is>
      </c>
      <c r="AC127" s="28" t="n">
        <v>39959</v>
      </c>
      <c r="AD127" s="27" t="b">
        <v>0</v>
      </c>
      <c r="AE127" s="1" t="inlineStr">
        <is>
          <t>X</t>
        </is>
      </c>
      <c r="AF127" s="1" t="inlineStr">
        <is>
          <t>N</t>
        </is>
      </c>
      <c r="AG127" s="3" t="n">
        <v>0</v>
      </c>
      <c r="AH127" s="1" t="inlineStr">
        <is>
          <t>N</t>
        </is>
      </c>
      <c r="AI127" s="1" t="inlineStr">
        <is>
          <t>N</t>
        </is>
      </c>
      <c r="AJ127" s="4" t="n">
        <v>0</v>
      </c>
      <c r="AK127" s="5" t="n">
        <v>0</v>
      </c>
      <c r="AL127" s="41" t="inlineStr">
        <is>
          <t>No Match Found</t>
        </is>
      </c>
      <c r="AM127" s="41" t="inlineStr">
        <is>
          <t>NA</t>
        </is>
      </c>
      <c r="AN127" s="5" t="n">
        <v>0</v>
      </c>
      <c r="AO127" s="29" t="n">
        <v>0</v>
      </c>
      <c r="AP127" s="29" t="b">
        <v>1</v>
      </c>
      <c r="AQ127" s="4" t="n">
        <v>0</v>
      </c>
      <c r="AR127" s="47" t="inlineStr">
        <is>
          <t>No Match Found</t>
        </is>
      </c>
      <c r="AS127" s="47" t="inlineStr">
        <is>
          <t>NA</t>
        </is>
      </c>
      <c r="AT127" s="4" t="n">
        <v>0</v>
      </c>
      <c r="AU127" s="4" t="n">
        <v>0</v>
      </c>
      <c r="AV127" s="47" t="inlineStr">
        <is>
          <t>No Match Found</t>
        </is>
      </c>
      <c r="AW127" s="47" t="inlineStr">
        <is>
          <t>NA</t>
        </is>
      </c>
      <c r="AX127" s="4" t="n">
        <v>0</v>
      </c>
      <c r="AY127" s="47" t="inlineStr">
        <is>
          <t>No Match Found</t>
        </is>
      </c>
      <c r="AZ127" s="47" t="inlineStr">
        <is>
          <t>NA</t>
        </is>
      </c>
      <c r="BA127" s="4" t="n">
        <v>0</v>
      </c>
      <c r="BB127" s="4" t="n">
        <v>0</v>
      </c>
      <c r="BC127" s="4" t="n">
        <v>0</v>
      </c>
      <c r="BD127" s="4" t="n">
        <v>0</v>
      </c>
      <c r="BE127" s="47" t="inlineStr">
        <is>
          <t>No Match Found</t>
        </is>
      </c>
      <c r="BF127" s="47" t="inlineStr">
        <is>
          <t>NA</t>
        </is>
      </c>
      <c r="BG127" s="6" t="n">
        <v>0</v>
      </c>
      <c r="BH127" s="53" t="inlineStr">
        <is>
          <t>No Match Found</t>
        </is>
      </c>
      <c r="BI127" s="53" t="inlineStr">
        <is>
          <t>NA</t>
        </is>
      </c>
      <c r="BJ127" s="4" t="n">
        <v>0</v>
      </c>
      <c r="BK127" s="4" t="n">
        <v>0</v>
      </c>
    </row>
    <row r="128">
      <c r="A128" t="n">
        <v>22</v>
      </c>
      <c r="B128" s="1" t="n"/>
      <c r="C128" s="1" t="n"/>
      <c r="D128" s="1" t="inlineStr"/>
      <c r="E128" s="2" t="n">
        <v>29724</v>
      </c>
      <c r="F128" s="36" t="inlineStr">
        <is>
          <t>No Match Found</t>
        </is>
      </c>
      <c r="G128" s="36" t="inlineStr">
        <is>
          <t>NA</t>
        </is>
      </c>
      <c r="H128" s="24" t="n">
        <v>29724</v>
      </c>
      <c r="I128" s="24" t="b">
        <v>1</v>
      </c>
      <c r="J128" s="2" t="n">
        <v>39372</v>
      </c>
      <c r="K128" s="36" t="inlineStr">
        <is>
          <t>No Match Found</t>
        </is>
      </c>
      <c r="L128" s="36" t="inlineStr">
        <is>
          <t>NA</t>
        </is>
      </c>
      <c r="M128" s="24" t="n">
        <v>39372</v>
      </c>
      <c r="N128" s="24" t="b">
        <v>1</v>
      </c>
      <c r="O128" s="2" t="n">
        <v>39479</v>
      </c>
      <c r="P128" t="inlineStr">
        <is>
          <t>Processed</t>
        </is>
      </c>
      <c r="Q128" s="36" t="inlineStr">
        <is>
          <t>No Match Found</t>
        </is>
      </c>
      <c r="R128" s="36" t="inlineStr">
        <is>
          <t>NA</t>
        </is>
      </c>
      <c r="S128" s="24" t="n">
        <v>39479</v>
      </c>
      <c r="T128" s="24" t="b">
        <v>1</v>
      </c>
      <c r="U128" s="2" t="n">
        <v>43739</v>
      </c>
      <c r="V128" s="36" t="inlineStr">
        <is>
          <t>No Match Found</t>
        </is>
      </c>
      <c r="W128" s="36" t="inlineStr">
        <is>
          <t>NA</t>
        </is>
      </c>
      <c r="X128" s="24" t="n">
        <v>43739</v>
      </c>
      <c r="Y128" s="24" t="b">
        <v>1</v>
      </c>
      <c r="AA128" s="39" t="inlineStr">
        <is>
          <t>No Match Found</t>
        </is>
      </c>
      <c r="AB128" s="39" t="inlineStr">
        <is>
          <t>NA</t>
        </is>
      </c>
      <c r="AD128" s="27" t="b">
        <v>1</v>
      </c>
      <c r="AE128" s="1" t="inlineStr">
        <is>
          <t>X</t>
        </is>
      </c>
      <c r="AF128" s="1" t="inlineStr">
        <is>
          <t>N</t>
        </is>
      </c>
      <c r="AG128" s="3" t="n">
        <v>0</v>
      </c>
      <c r="AH128" s="1" t="inlineStr">
        <is>
          <t>N</t>
        </is>
      </c>
      <c r="AI128" s="1" t="inlineStr">
        <is>
          <t>N</t>
        </is>
      </c>
      <c r="AJ128" s="4" t="n">
        <v>0</v>
      </c>
      <c r="AK128" s="5" t="n">
        <v>0</v>
      </c>
      <c r="AL128" s="41" t="inlineStr">
        <is>
          <t>No Match Found</t>
        </is>
      </c>
      <c r="AM128" s="41" t="inlineStr">
        <is>
          <t>NA</t>
        </is>
      </c>
      <c r="AN128" s="5" t="n">
        <v>13</v>
      </c>
      <c r="AO128" s="29" t="n">
        <v>13</v>
      </c>
      <c r="AP128" s="29" t="b">
        <v>1</v>
      </c>
      <c r="AQ128" s="4" t="n">
        <v>0</v>
      </c>
      <c r="AR128" s="47" t="inlineStr">
        <is>
          <t>No Match Found</t>
        </is>
      </c>
      <c r="AS128" s="47" t="inlineStr">
        <is>
          <t>NA</t>
        </is>
      </c>
      <c r="AT128" s="4" t="n">
        <v>0</v>
      </c>
      <c r="AU128" s="4" t="n">
        <v>0</v>
      </c>
      <c r="AV128" s="47" t="inlineStr">
        <is>
          <t>No Match Found</t>
        </is>
      </c>
      <c r="AW128" s="47" t="inlineStr">
        <is>
          <t>NA</t>
        </is>
      </c>
      <c r="AX128" s="4" t="n">
        <v>0</v>
      </c>
      <c r="AY128" s="47" t="inlineStr">
        <is>
          <t>No Match Found</t>
        </is>
      </c>
      <c r="AZ128" s="47" t="inlineStr">
        <is>
          <t>NA</t>
        </is>
      </c>
      <c r="BA128" s="4" t="n">
        <v>0</v>
      </c>
      <c r="BB128" s="4" t="n">
        <v>0</v>
      </c>
      <c r="BC128" s="4" t="n">
        <v>0</v>
      </c>
      <c r="BD128" s="4" t="n">
        <v>0</v>
      </c>
      <c r="BE128" s="47" t="inlineStr">
        <is>
          <t>No Match Found</t>
        </is>
      </c>
      <c r="BF128" s="47" t="inlineStr">
        <is>
          <t>NA</t>
        </is>
      </c>
      <c r="BG128" s="6" t="n">
        <v>0</v>
      </c>
      <c r="BH128" s="53" t="inlineStr">
        <is>
          <t>No Match Found</t>
        </is>
      </c>
      <c r="BI128" s="53" t="inlineStr">
        <is>
          <t>NA</t>
        </is>
      </c>
      <c r="BJ128" s="4" t="n">
        <v>0</v>
      </c>
      <c r="BK128" s="4" t="n">
        <v>0</v>
      </c>
    </row>
    <row r="129">
      <c r="A129" t="n">
        <v>23</v>
      </c>
      <c r="B129" s="1" t="n"/>
      <c r="C129" s="1" t="n"/>
      <c r="D129" s="1" t="inlineStr"/>
      <c r="E129" s="2" t="n">
        <v>25427</v>
      </c>
      <c r="F129" s="36" t="inlineStr">
        <is>
          <t>No Match Found</t>
        </is>
      </c>
      <c r="G129" s="36" t="inlineStr">
        <is>
          <t>NA</t>
        </is>
      </c>
      <c r="H129" s="24" t="n">
        <v>25427</v>
      </c>
      <c r="I129" s="24" t="b">
        <v>1</v>
      </c>
      <c r="J129" s="2" t="n">
        <v>39426</v>
      </c>
      <c r="K129" s="36" t="inlineStr">
        <is>
          <t>No Match Found</t>
        </is>
      </c>
      <c r="L129" s="36" t="inlineStr">
        <is>
          <t>NA</t>
        </is>
      </c>
      <c r="M129" s="24" t="n">
        <v>39426</v>
      </c>
      <c r="N129" s="24" t="b">
        <v>1</v>
      </c>
      <c r="O129" s="2" t="n">
        <v>39539</v>
      </c>
      <c r="P129" t="inlineStr">
        <is>
          <t>Processed</t>
        </is>
      </c>
      <c r="Q129" s="36" t="inlineStr">
        <is>
          <t>No Match Found</t>
        </is>
      </c>
      <c r="R129" s="36" t="inlineStr">
        <is>
          <t>NA</t>
        </is>
      </c>
      <c r="S129" s="24" t="n">
        <v>39539</v>
      </c>
      <c r="T129" s="24" t="b">
        <v>1</v>
      </c>
      <c r="U129" s="2" t="n">
        <v>43220</v>
      </c>
      <c r="V129" s="36" t="inlineStr">
        <is>
          <t>No Match Found</t>
        </is>
      </c>
      <c r="W129" s="36" t="inlineStr">
        <is>
          <t>NA</t>
        </is>
      </c>
      <c r="X129" s="24" t="n">
        <v>43220</v>
      </c>
      <c r="Y129" s="24" t="b">
        <v>1</v>
      </c>
      <c r="AA129" s="39" t="inlineStr">
        <is>
          <t>No Match Found</t>
        </is>
      </c>
      <c r="AB129" s="39" t="inlineStr">
        <is>
          <t>NA</t>
        </is>
      </c>
      <c r="AD129" s="27" t="b">
        <v>1</v>
      </c>
      <c r="AE129" s="1" t="inlineStr">
        <is>
          <t>X</t>
        </is>
      </c>
      <c r="AF129" s="1" t="inlineStr">
        <is>
          <t>N</t>
        </is>
      </c>
      <c r="AG129" s="3" t="n">
        <v>0</v>
      </c>
      <c r="AH129" s="1" t="inlineStr">
        <is>
          <t>N</t>
        </is>
      </c>
      <c r="AI129" s="1" t="inlineStr">
        <is>
          <t>N</t>
        </is>
      </c>
      <c r="AJ129" s="4" t="n">
        <v>0</v>
      </c>
      <c r="AK129" s="5" t="n">
        <v>0</v>
      </c>
      <c r="AL129" s="41" t="inlineStr">
        <is>
          <t>No Match Found</t>
        </is>
      </c>
      <c r="AM129" s="41" t="inlineStr">
        <is>
          <t>NA</t>
        </is>
      </c>
      <c r="AN129" s="5" t="n">
        <v>10</v>
      </c>
      <c r="AO129" s="29" t="n">
        <v>10</v>
      </c>
      <c r="AP129" s="29" t="b">
        <v>1</v>
      </c>
      <c r="AQ129" s="4" t="n">
        <v>0</v>
      </c>
      <c r="AR129" s="47" t="inlineStr">
        <is>
          <t>No Match Found</t>
        </is>
      </c>
      <c r="AS129" s="47" t="inlineStr">
        <is>
          <t>NA</t>
        </is>
      </c>
      <c r="AT129" s="4" t="n">
        <v>0</v>
      </c>
      <c r="AU129" s="4" t="n">
        <v>0</v>
      </c>
      <c r="AV129" s="47" t="inlineStr">
        <is>
          <t>No Match Found</t>
        </is>
      </c>
      <c r="AW129" s="47" t="inlineStr">
        <is>
          <t>NA</t>
        </is>
      </c>
      <c r="AX129" s="4" t="n">
        <v>0</v>
      </c>
      <c r="AY129" s="47" t="inlineStr">
        <is>
          <t>No Match Found</t>
        </is>
      </c>
      <c r="AZ129" s="47" t="inlineStr">
        <is>
          <t>NA</t>
        </is>
      </c>
      <c r="BA129" s="4" t="n">
        <v>0</v>
      </c>
      <c r="BB129" s="4" t="n">
        <v>0</v>
      </c>
      <c r="BC129" s="4" t="n">
        <v>0</v>
      </c>
      <c r="BD129" s="4" t="n">
        <v>0</v>
      </c>
      <c r="BE129" s="47" t="inlineStr">
        <is>
          <t>No Match Found</t>
        </is>
      </c>
      <c r="BF129" s="47" t="inlineStr">
        <is>
          <t>NA</t>
        </is>
      </c>
      <c r="BG129" s="6" t="n">
        <v>0</v>
      </c>
      <c r="BH129" s="53" t="inlineStr">
        <is>
          <t>No Match Found</t>
        </is>
      </c>
      <c r="BI129" s="53" t="inlineStr">
        <is>
          <t>NA</t>
        </is>
      </c>
      <c r="BJ129" s="4" t="n">
        <v>0</v>
      </c>
      <c r="BK129" s="4" t="n">
        <v>0</v>
      </c>
    </row>
    <row r="130">
      <c r="A130" t="n">
        <v>24</v>
      </c>
      <c r="B130" s="1" t="n"/>
      <c r="C130" s="1" t="n"/>
      <c r="D130" s="1" t="inlineStr"/>
      <c r="E130" s="2" t="n">
        <v>30733</v>
      </c>
      <c r="F130" s="36" t="inlineStr">
        <is>
          <t>No Match Found</t>
        </is>
      </c>
      <c r="G130" s="36" t="inlineStr">
        <is>
          <t>NA</t>
        </is>
      </c>
      <c r="H130" s="24" t="n">
        <v>30733</v>
      </c>
      <c r="I130" s="24" t="b">
        <v>1</v>
      </c>
      <c r="J130" s="2" t="n">
        <v>39517</v>
      </c>
      <c r="K130" s="36" t="inlineStr">
        <is>
          <t>No Match Found</t>
        </is>
      </c>
      <c r="L130" s="36" t="inlineStr">
        <is>
          <t>NA</t>
        </is>
      </c>
      <c r="M130" s="24" t="n">
        <v>39517</v>
      </c>
      <c r="N130" s="24" t="b">
        <v>1</v>
      </c>
      <c r="O130" s="2" t="n">
        <v>39630</v>
      </c>
      <c r="P130" t="inlineStr">
        <is>
          <t>Processed</t>
        </is>
      </c>
      <c r="Q130" s="36" t="inlineStr">
        <is>
          <t>No Match Found</t>
        </is>
      </c>
      <c r="R130" s="36" t="inlineStr">
        <is>
          <t>NA</t>
        </is>
      </c>
      <c r="S130" s="24" t="n">
        <v>39630</v>
      </c>
      <c r="T130" s="24" t="b">
        <v>1</v>
      </c>
      <c r="U130" s="2" t="n">
        <v>42548</v>
      </c>
      <c r="V130" s="36" t="inlineStr">
        <is>
          <t>No Match Found</t>
        </is>
      </c>
      <c r="W130" s="36" t="inlineStr">
        <is>
          <t>NA</t>
        </is>
      </c>
      <c r="X130" s="24" t="n">
        <v>42548</v>
      </c>
      <c r="Y130" s="24" t="b">
        <v>1</v>
      </c>
      <c r="AA130" s="39" t="inlineStr">
        <is>
          <t>No Match Found</t>
        </is>
      </c>
      <c r="AB130" s="39" t="inlineStr">
        <is>
          <t>NA</t>
        </is>
      </c>
      <c r="AD130" s="27" t="b">
        <v>1</v>
      </c>
      <c r="AE130" s="1" t="inlineStr">
        <is>
          <t>X</t>
        </is>
      </c>
      <c r="AF130" s="1" t="inlineStr">
        <is>
          <t>N</t>
        </is>
      </c>
      <c r="AG130" s="3" t="n">
        <v>0</v>
      </c>
      <c r="AH130" s="1" t="inlineStr">
        <is>
          <t>N</t>
        </is>
      </c>
      <c r="AI130" s="1" t="inlineStr">
        <is>
          <t>N</t>
        </is>
      </c>
      <c r="AJ130" s="4" t="n">
        <v>60854.86</v>
      </c>
      <c r="AK130" s="5" t="n">
        <v>0</v>
      </c>
      <c r="AL130" s="41" t="inlineStr">
        <is>
          <t>No Match Found</t>
        </is>
      </c>
      <c r="AM130" s="41" t="inlineStr">
        <is>
          <t>NA</t>
        </is>
      </c>
      <c r="AN130" s="5" t="n">
        <v>8</v>
      </c>
      <c r="AO130" s="29" t="n">
        <v>8</v>
      </c>
      <c r="AP130" s="29" t="b">
        <v>1</v>
      </c>
      <c r="AQ130" s="4" t="n">
        <v>0</v>
      </c>
      <c r="AR130" s="47" t="inlineStr">
        <is>
          <t>No Match Found</t>
        </is>
      </c>
      <c r="AS130" s="47" t="inlineStr">
        <is>
          <t>NA</t>
        </is>
      </c>
      <c r="AT130" s="4" t="n">
        <v>0</v>
      </c>
      <c r="AU130" s="4" t="n">
        <v>0</v>
      </c>
      <c r="AV130" s="47" t="inlineStr">
        <is>
          <t>No Match Found</t>
        </is>
      </c>
      <c r="AW130" s="47" t="inlineStr">
        <is>
          <t>NA</t>
        </is>
      </c>
      <c r="AX130" s="4" t="n">
        <v>0</v>
      </c>
      <c r="AY130" s="47" t="inlineStr">
        <is>
          <t>No Match Found</t>
        </is>
      </c>
      <c r="AZ130" s="47" t="inlineStr">
        <is>
          <t>NA</t>
        </is>
      </c>
      <c r="BA130" s="4" t="n">
        <v>0</v>
      </c>
      <c r="BB130" s="4" t="n">
        <v>0</v>
      </c>
      <c r="BC130" s="4" t="n">
        <v>0</v>
      </c>
      <c r="BD130" s="4" t="n">
        <v>0</v>
      </c>
      <c r="BE130" s="47" t="inlineStr">
        <is>
          <t>No Match Found</t>
        </is>
      </c>
      <c r="BF130" s="47" t="inlineStr">
        <is>
          <t>NA</t>
        </is>
      </c>
      <c r="BG130" s="6" t="n">
        <v>0</v>
      </c>
      <c r="BH130" s="53" t="inlineStr">
        <is>
          <t>No Match Found</t>
        </is>
      </c>
      <c r="BI130" s="53" t="inlineStr">
        <is>
          <t>NA</t>
        </is>
      </c>
      <c r="BJ130" s="4" t="n">
        <v>0</v>
      </c>
      <c r="BK130" s="4" t="n">
        <v>0</v>
      </c>
    </row>
    <row r="131">
      <c r="A131" t="n">
        <v>25</v>
      </c>
      <c r="B131" s="1" t="n"/>
      <c r="C131" s="1" t="n"/>
      <c r="D131" s="1" t="inlineStr"/>
      <c r="E131" s="2" t="n">
        <v>33387</v>
      </c>
      <c r="F131" s="36" t="inlineStr">
        <is>
          <t>No Match Found</t>
        </is>
      </c>
      <c r="G131" s="36" t="inlineStr">
        <is>
          <t>NA</t>
        </is>
      </c>
      <c r="H131" s="24" t="n">
        <v>33387</v>
      </c>
      <c r="I131" s="24" t="b">
        <v>1</v>
      </c>
      <c r="J131" s="2" t="n">
        <v>39608</v>
      </c>
      <c r="K131" s="36" t="inlineStr">
        <is>
          <t>No Match Found</t>
        </is>
      </c>
      <c r="L131" s="36" t="inlineStr">
        <is>
          <t>NA</t>
        </is>
      </c>
      <c r="M131" s="24" t="n">
        <v>39608</v>
      </c>
      <c r="N131" s="24" t="b">
        <v>1</v>
      </c>
      <c r="O131" s="2" t="n">
        <v>39722</v>
      </c>
      <c r="P131" t="inlineStr">
        <is>
          <t>Processed</t>
        </is>
      </c>
      <c r="Q131" s="36" t="inlineStr">
        <is>
          <t>No Match Found</t>
        </is>
      </c>
      <c r="R131" s="36" t="inlineStr">
        <is>
          <t>NA</t>
        </is>
      </c>
      <c r="S131" s="24" t="n">
        <v>39722</v>
      </c>
      <c r="T131" s="24" t="b">
        <v>1</v>
      </c>
      <c r="U131" s="2" t="n">
        <v>41472</v>
      </c>
      <c r="V131" s="36" t="inlineStr">
        <is>
          <t>No Match Found</t>
        </is>
      </c>
      <c r="W131" s="36" t="inlineStr">
        <is>
          <t>NA</t>
        </is>
      </c>
      <c r="X131" s="24" t="n">
        <v>41472</v>
      </c>
      <c r="Y131" s="24" t="b">
        <v>1</v>
      </c>
      <c r="AA131" s="39" t="inlineStr">
        <is>
          <t>No Match Found</t>
        </is>
      </c>
      <c r="AB131" s="39" t="inlineStr">
        <is>
          <t>NA</t>
        </is>
      </c>
      <c r="AD131" s="27" t="b">
        <v>1</v>
      </c>
      <c r="AE131" s="1" t="inlineStr">
        <is>
          <t>X</t>
        </is>
      </c>
      <c r="AF131" s="1" t="inlineStr">
        <is>
          <t>N</t>
        </is>
      </c>
      <c r="AG131" s="3" t="n">
        <v>0</v>
      </c>
      <c r="AH131" s="1" t="inlineStr">
        <is>
          <t>N</t>
        </is>
      </c>
      <c r="AI131" s="1" t="inlineStr">
        <is>
          <t>N</t>
        </is>
      </c>
      <c r="AJ131" s="4" t="n">
        <v>0</v>
      </c>
      <c r="AK131" s="5" t="n">
        <v>0</v>
      </c>
      <c r="AL131" s="41" t="inlineStr">
        <is>
          <t>No Match Found</t>
        </is>
      </c>
      <c r="AM131" s="41" t="inlineStr">
        <is>
          <t>NA</t>
        </is>
      </c>
      <c r="AN131" s="5" t="n">
        <v>17</v>
      </c>
      <c r="AO131" s="29" t="n">
        <v>17</v>
      </c>
      <c r="AP131" s="29" t="b">
        <v>1</v>
      </c>
      <c r="AQ131" s="4" t="n">
        <v>0</v>
      </c>
      <c r="AR131" s="47" t="inlineStr">
        <is>
          <t>No Match Found</t>
        </is>
      </c>
      <c r="AS131" s="47" t="inlineStr">
        <is>
          <t>NA</t>
        </is>
      </c>
      <c r="AT131" s="4" t="n">
        <v>0</v>
      </c>
      <c r="AU131" s="4" t="n">
        <v>0</v>
      </c>
      <c r="AV131" s="47" t="inlineStr">
        <is>
          <t>No Match Found</t>
        </is>
      </c>
      <c r="AW131" s="47" t="inlineStr">
        <is>
          <t>NA</t>
        </is>
      </c>
      <c r="AX131" s="4" t="n">
        <v>0</v>
      </c>
      <c r="AY131" s="47" t="inlineStr">
        <is>
          <t>No Match Found</t>
        </is>
      </c>
      <c r="AZ131" s="47" t="inlineStr">
        <is>
          <t>NA</t>
        </is>
      </c>
      <c r="BA131" s="4" t="n">
        <v>0</v>
      </c>
      <c r="BB131" s="4" t="n">
        <v>0</v>
      </c>
      <c r="BC131" s="4" t="n">
        <v>0</v>
      </c>
      <c r="BD131" s="4" t="n">
        <v>0</v>
      </c>
      <c r="BE131" s="47" t="inlineStr">
        <is>
          <t>No Match Found</t>
        </is>
      </c>
      <c r="BF131" s="47" t="inlineStr">
        <is>
          <t>NA</t>
        </is>
      </c>
      <c r="BG131" s="6" t="n">
        <v>0</v>
      </c>
      <c r="BH131" s="53" t="inlineStr">
        <is>
          <t>No Match Found</t>
        </is>
      </c>
      <c r="BI131" s="53" t="inlineStr">
        <is>
          <t>NA</t>
        </is>
      </c>
      <c r="BJ131" s="4" t="n">
        <v>0</v>
      </c>
      <c r="BK131" s="4" t="n">
        <v>0</v>
      </c>
    </row>
    <row r="132">
      <c r="A132" t="n">
        <v>26</v>
      </c>
      <c r="B132" s="1" t="n"/>
      <c r="C132" s="1" t="n"/>
      <c r="D132" s="1" t="inlineStr"/>
      <c r="E132" s="2" t="n">
        <v>28850</v>
      </c>
      <c r="F132" s="36" t="inlineStr">
        <is>
          <t>No Match Found</t>
        </is>
      </c>
      <c r="G132" s="36" t="inlineStr">
        <is>
          <t>NA</t>
        </is>
      </c>
      <c r="H132" s="24" t="n">
        <v>28850</v>
      </c>
      <c r="I132" s="24" t="b">
        <v>1</v>
      </c>
      <c r="J132" s="2" t="n">
        <v>39612</v>
      </c>
      <c r="K132" s="36" t="inlineStr">
        <is>
          <t>No Match Found</t>
        </is>
      </c>
      <c r="L132" s="36" t="inlineStr">
        <is>
          <t>NA</t>
        </is>
      </c>
      <c r="M132" s="24" t="n">
        <v>39612</v>
      </c>
      <c r="N132" s="24" t="b">
        <v>1</v>
      </c>
      <c r="O132" s="2" t="n">
        <v>39612</v>
      </c>
      <c r="P132" t="inlineStr">
        <is>
          <t>Processed</t>
        </is>
      </c>
      <c r="Q132" s="36" t="inlineStr">
        <is>
          <t>No Match Found</t>
        </is>
      </c>
      <c r="R132" s="36" t="inlineStr">
        <is>
          <t>NA</t>
        </is>
      </c>
      <c r="S132" s="24" t="n">
        <v>39612</v>
      </c>
      <c r="T132" s="24" t="b">
        <v>1</v>
      </c>
      <c r="U132" s="2" t="n">
        <v>41472</v>
      </c>
      <c r="V132" s="36" t="inlineStr">
        <is>
          <t>No Match Found</t>
        </is>
      </c>
      <c r="W132" s="36" t="inlineStr">
        <is>
          <t>NA</t>
        </is>
      </c>
      <c r="X132" s="24" t="n">
        <v>41472</v>
      </c>
      <c r="Y132" s="24" t="b">
        <v>1</v>
      </c>
      <c r="AA132" s="39" t="inlineStr">
        <is>
          <t>No Match Found</t>
        </is>
      </c>
      <c r="AB132" s="39" t="inlineStr">
        <is>
          <t>NA</t>
        </is>
      </c>
      <c r="AD132" s="27" t="b">
        <v>1</v>
      </c>
      <c r="AE132" s="1" t="inlineStr">
        <is>
          <t>X</t>
        </is>
      </c>
      <c r="AF132" s="1" t="inlineStr">
        <is>
          <t>N</t>
        </is>
      </c>
      <c r="AG132" s="3" t="n">
        <v>0</v>
      </c>
      <c r="AH132" s="1" t="inlineStr">
        <is>
          <t>N</t>
        </is>
      </c>
      <c r="AI132" s="1" t="inlineStr">
        <is>
          <t>N</t>
        </is>
      </c>
      <c r="AJ132" s="4" t="n">
        <v>67776.34</v>
      </c>
      <c r="AK132" s="5" t="n">
        <v>0</v>
      </c>
      <c r="AL132" s="41" t="inlineStr">
        <is>
          <t>No Match Found</t>
        </is>
      </c>
      <c r="AM132" s="41" t="inlineStr">
        <is>
          <t>NA</t>
        </is>
      </c>
      <c r="AN132" s="5" t="n">
        <v>25</v>
      </c>
      <c r="AO132" s="29" t="n">
        <v>25</v>
      </c>
      <c r="AP132" s="29" t="b">
        <v>1</v>
      </c>
      <c r="AQ132" s="4" t="n">
        <v>0</v>
      </c>
      <c r="AR132" s="47" t="inlineStr">
        <is>
          <t>No Match Found</t>
        </is>
      </c>
      <c r="AS132" s="47" t="inlineStr">
        <is>
          <t>NA</t>
        </is>
      </c>
      <c r="AT132" s="4" t="n">
        <v>0</v>
      </c>
      <c r="AU132" s="4" t="n">
        <v>0</v>
      </c>
      <c r="AV132" s="47" t="inlineStr">
        <is>
          <t>No Match Found</t>
        </is>
      </c>
      <c r="AW132" s="47" t="inlineStr">
        <is>
          <t>NA</t>
        </is>
      </c>
      <c r="AX132" s="4" t="n">
        <v>0</v>
      </c>
      <c r="AY132" s="47" t="inlineStr">
        <is>
          <t>No Match Found</t>
        </is>
      </c>
      <c r="AZ132" s="47" t="inlineStr">
        <is>
          <t>NA</t>
        </is>
      </c>
      <c r="BA132" s="4" t="n">
        <v>0</v>
      </c>
      <c r="BB132" s="4" t="n">
        <v>0</v>
      </c>
      <c r="BC132" s="4" t="n">
        <v>0</v>
      </c>
      <c r="BD132" s="4" t="n">
        <v>0</v>
      </c>
      <c r="BE132" s="47" t="inlineStr">
        <is>
          <t>No Match Found</t>
        </is>
      </c>
      <c r="BF132" s="47" t="inlineStr">
        <is>
          <t>NA</t>
        </is>
      </c>
      <c r="BG132" s="6" t="n">
        <v>0</v>
      </c>
      <c r="BH132" s="53" t="inlineStr">
        <is>
          <t>No Match Found</t>
        </is>
      </c>
      <c r="BI132" s="53" t="inlineStr">
        <is>
          <t>NA</t>
        </is>
      </c>
      <c r="BJ132" s="4" t="n">
        <v>0</v>
      </c>
      <c r="BK132" s="4" t="n">
        <v>0</v>
      </c>
    </row>
    <row r="133">
      <c r="A133" t="n">
        <v>27</v>
      </c>
      <c r="B133" s="1" t="n"/>
      <c r="C133" s="1" t="n"/>
      <c r="D133" s="1" t="inlineStr"/>
      <c r="E133" s="2" t="n">
        <v>30862</v>
      </c>
      <c r="F133" s="36" t="inlineStr">
        <is>
          <t>No Match Found</t>
        </is>
      </c>
      <c r="G133" s="36" t="inlineStr">
        <is>
          <t>NA</t>
        </is>
      </c>
      <c r="H133" s="24" t="n">
        <v>30862</v>
      </c>
      <c r="I133" s="24" t="b">
        <v>1</v>
      </c>
      <c r="J133" s="2" t="n">
        <v>40299</v>
      </c>
      <c r="K133" s="36" t="inlineStr">
        <is>
          <t>No Match Found</t>
        </is>
      </c>
      <c r="L133" s="36" t="inlineStr">
        <is>
          <t>NA</t>
        </is>
      </c>
      <c r="M133" s="24" t="n">
        <v>40299</v>
      </c>
      <c r="N133" s="24" t="b">
        <v>1</v>
      </c>
      <c r="O133" s="2" t="n">
        <v>40391</v>
      </c>
      <c r="P133" t="inlineStr">
        <is>
          <t>Processed</t>
        </is>
      </c>
      <c r="Q133" s="36" t="inlineStr">
        <is>
          <t>No Match Found</t>
        </is>
      </c>
      <c r="R133" s="36" t="inlineStr">
        <is>
          <t>NA</t>
        </is>
      </c>
      <c r="S133" s="24" t="n">
        <v>40391</v>
      </c>
      <c r="T133" s="24" t="b">
        <v>1</v>
      </c>
      <c r="U133" s="2" t="n">
        <v>41024</v>
      </c>
      <c r="V133" s="36" t="inlineStr">
        <is>
          <t>No Match Found</t>
        </is>
      </c>
      <c r="W133" s="36" t="inlineStr">
        <is>
          <t>NA</t>
        </is>
      </c>
      <c r="X133" s="24" t="n">
        <v>41024</v>
      </c>
      <c r="Y133" s="24" t="b">
        <v>1</v>
      </c>
      <c r="AA133" s="39" t="inlineStr">
        <is>
          <t>No Match Found</t>
        </is>
      </c>
      <c r="AB133" s="39" t="inlineStr">
        <is>
          <t>NA</t>
        </is>
      </c>
      <c r="AD133" s="27" t="b">
        <v>1</v>
      </c>
      <c r="AE133" s="1" t="inlineStr">
        <is>
          <t>X</t>
        </is>
      </c>
      <c r="AF133" s="1" t="inlineStr">
        <is>
          <t>N</t>
        </is>
      </c>
      <c r="AG133" s="3" t="n">
        <v>0</v>
      </c>
      <c r="AH133" s="1" t="inlineStr">
        <is>
          <t>N</t>
        </is>
      </c>
      <c r="AI133" s="1" t="inlineStr">
        <is>
          <t>N</t>
        </is>
      </c>
      <c r="AJ133" s="4" t="n">
        <v>5896.15</v>
      </c>
      <c r="AK133" s="5" t="n">
        <v>0</v>
      </c>
      <c r="AL133" s="41" t="inlineStr">
        <is>
          <t>No Match Found</t>
        </is>
      </c>
      <c r="AM133" s="41" t="inlineStr">
        <is>
          <t>NA</t>
        </is>
      </c>
      <c r="AN133" s="5" t="n">
        <v>19</v>
      </c>
      <c r="AO133" s="29" t="n">
        <v>19</v>
      </c>
      <c r="AP133" s="29" t="b">
        <v>1</v>
      </c>
      <c r="AQ133" s="4" t="n">
        <v>0</v>
      </c>
      <c r="AR133" s="47" t="inlineStr">
        <is>
          <t>No Match Found</t>
        </is>
      </c>
      <c r="AS133" s="47" t="inlineStr">
        <is>
          <t>NA</t>
        </is>
      </c>
      <c r="AT133" s="4" t="n">
        <v>0</v>
      </c>
      <c r="AU133" s="4" t="n">
        <v>0</v>
      </c>
      <c r="AV133" s="47" t="inlineStr">
        <is>
          <t>No Match Found</t>
        </is>
      </c>
      <c r="AW133" s="47" t="inlineStr">
        <is>
          <t>NA</t>
        </is>
      </c>
      <c r="AX133" s="4" t="n">
        <v>0</v>
      </c>
      <c r="AY133" s="47" t="inlineStr">
        <is>
          <t>No Match Found</t>
        </is>
      </c>
      <c r="AZ133" s="47" t="inlineStr">
        <is>
          <t>NA</t>
        </is>
      </c>
      <c r="BA133" s="4" t="n">
        <v>0</v>
      </c>
      <c r="BB133" s="4" t="n">
        <v>0</v>
      </c>
      <c r="BC133" s="4" t="n">
        <v>0</v>
      </c>
      <c r="BD133" s="4" t="n">
        <v>0</v>
      </c>
      <c r="BE133" s="47" t="inlineStr">
        <is>
          <t>No Match Found</t>
        </is>
      </c>
      <c r="BF133" s="47" t="inlineStr">
        <is>
          <t>NA</t>
        </is>
      </c>
      <c r="BG133" s="6" t="n">
        <v>0</v>
      </c>
      <c r="BH133" s="53" t="inlineStr">
        <is>
          <t>No Match Found</t>
        </is>
      </c>
      <c r="BI133" s="53" t="inlineStr">
        <is>
          <t>NA</t>
        </is>
      </c>
      <c r="BJ133" s="4" t="n">
        <v>0</v>
      </c>
      <c r="BK133" s="4" t="n">
        <v>0</v>
      </c>
    </row>
    <row r="134">
      <c r="A134" t="n">
        <v>28</v>
      </c>
      <c r="B134" s="1" t="n"/>
      <c r="C134" s="1" t="n"/>
      <c r="D134" s="1" t="inlineStr"/>
      <c r="E134" s="2" t="n">
        <v>26271</v>
      </c>
      <c r="F134" s="36" t="inlineStr">
        <is>
          <t>No Match Found</t>
        </is>
      </c>
      <c r="G134" s="36" t="inlineStr">
        <is>
          <t>NA</t>
        </is>
      </c>
      <c r="H134" s="24" t="n">
        <v>26271</v>
      </c>
      <c r="I134" s="24" t="b">
        <v>1</v>
      </c>
      <c r="J134" s="2" t="n">
        <v>40705</v>
      </c>
      <c r="K134" s="36" t="inlineStr">
        <is>
          <t>No Match Found</t>
        </is>
      </c>
      <c r="L134" s="36" t="inlineStr">
        <is>
          <t>NA</t>
        </is>
      </c>
      <c r="M134" s="24" t="n">
        <v>40705</v>
      </c>
      <c r="N134" s="24" t="b">
        <v>1</v>
      </c>
      <c r="O134" s="2" t="n">
        <v>41275</v>
      </c>
      <c r="P134" t="inlineStr">
        <is>
          <t>Processed</t>
        </is>
      </c>
      <c r="Q134" s="36" t="inlineStr">
        <is>
          <t>No Match Found</t>
        </is>
      </c>
      <c r="R134" s="36" t="inlineStr">
        <is>
          <t>NA</t>
        </is>
      </c>
      <c r="S134" s="24" t="n">
        <v>41275</v>
      </c>
      <c r="T134" s="24" t="b">
        <v>1</v>
      </c>
      <c r="U134" s="2" t="n">
        <v>43404</v>
      </c>
      <c r="V134" s="36" t="inlineStr">
        <is>
          <t>No Match Found</t>
        </is>
      </c>
      <c r="W134" s="36" t="inlineStr">
        <is>
          <t>NA</t>
        </is>
      </c>
      <c r="X134" s="24" t="n">
        <v>43404</v>
      </c>
      <c r="Y134" s="24" t="b">
        <v>1</v>
      </c>
      <c r="AA134" s="39" t="inlineStr">
        <is>
          <t>No Match Found</t>
        </is>
      </c>
      <c r="AB134" s="39" t="inlineStr">
        <is>
          <t>NA</t>
        </is>
      </c>
      <c r="AD134" s="27" t="b">
        <v>1</v>
      </c>
      <c r="AE134" s="1" t="inlineStr">
        <is>
          <t>X</t>
        </is>
      </c>
      <c r="AF134" s="1" t="inlineStr">
        <is>
          <t>N</t>
        </is>
      </c>
      <c r="AG134" s="3" t="n">
        <v>0</v>
      </c>
      <c r="AH134" s="1" t="inlineStr">
        <is>
          <t>N</t>
        </is>
      </c>
      <c r="AI134" s="1" t="inlineStr">
        <is>
          <t>N</t>
        </is>
      </c>
      <c r="AJ134" s="4" t="n">
        <v>75.42</v>
      </c>
      <c r="AK134" s="5" t="n">
        <v>0</v>
      </c>
      <c r="AL134" s="41" t="inlineStr">
        <is>
          <t>No Match Found</t>
        </is>
      </c>
      <c r="AM134" s="41" t="inlineStr">
        <is>
          <t>NA</t>
        </is>
      </c>
      <c r="AN134" s="5" t="n">
        <v>8</v>
      </c>
      <c r="AO134" s="29" t="n">
        <v>8</v>
      </c>
      <c r="AP134" s="29" t="b">
        <v>1</v>
      </c>
      <c r="AQ134" s="4" t="n">
        <v>0</v>
      </c>
      <c r="AR134" s="47" t="inlineStr">
        <is>
          <t>No Match Found</t>
        </is>
      </c>
      <c r="AS134" s="47" t="inlineStr">
        <is>
          <t>NA</t>
        </is>
      </c>
      <c r="AT134" s="4" t="n">
        <v>0</v>
      </c>
      <c r="AU134" s="4" t="n">
        <v>0</v>
      </c>
      <c r="AV134" s="47" t="inlineStr">
        <is>
          <t>No Match Found</t>
        </is>
      </c>
      <c r="AW134" s="47" t="inlineStr">
        <is>
          <t>NA</t>
        </is>
      </c>
      <c r="AX134" s="4" t="n">
        <v>0</v>
      </c>
      <c r="AY134" s="47" t="inlineStr">
        <is>
          <t>No Match Found</t>
        </is>
      </c>
      <c r="AZ134" s="47" t="inlineStr">
        <is>
          <t>NA</t>
        </is>
      </c>
      <c r="BA134" s="4" t="n">
        <v>0</v>
      </c>
      <c r="BB134" s="4" t="n">
        <v>0</v>
      </c>
      <c r="BC134" s="4" t="n">
        <v>0</v>
      </c>
      <c r="BD134" s="4" t="n">
        <v>0</v>
      </c>
      <c r="BE134" s="47" t="inlineStr">
        <is>
          <t>No Match Found</t>
        </is>
      </c>
      <c r="BF134" s="47" t="inlineStr">
        <is>
          <t>NA</t>
        </is>
      </c>
      <c r="BG134" s="6" t="n">
        <v>0</v>
      </c>
      <c r="BH134" s="53" t="inlineStr">
        <is>
          <t>No Match Found</t>
        </is>
      </c>
      <c r="BI134" s="53" t="inlineStr">
        <is>
          <t>NA</t>
        </is>
      </c>
      <c r="BJ134" s="4" t="n">
        <v>0</v>
      </c>
      <c r="BK134" s="4" t="n">
        <v>0</v>
      </c>
    </row>
    <row r="135">
      <c r="A135" t="n">
        <v>29</v>
      </c>
      <c r="B135" s="1" t="n"/>
      <c r="C135" s="1" t="n"/>
      <c r="D135" s="1" t="inlineStr"/>
      <c r="E135" s="2" t="n">
        <v>29875</v>
      </c>
      <c r="F135" s="36" t="inlineStr">
        <is>
          <t>No Match Found</t>
        </is>
      </c>
      <c r="G135" s="36" t="inlineStr">
        <is>
          <t>NA</t>
        </is>
      </c>
      <c r="H135" s="24" t="n">
        <v>29875</v>
      </c>
      <c r="I135" s="24" t="b">
        <v>1</v>
      </c>
      <c r="J135" s="2" t="n">
        <v>41100</v>
      </c>
      <c r="K135" s="36" t="inlineStr">
        <is>
          <t>No Match Found</t>
        </is>
      </c>
      <c r="L135" s="36" t="inlineStr">
        <is>
          <t>NA</t>
        </is>
      </c>
      <c r="M135" s="24" t="n">
        <v>41100</v>
      </c>
      <c r="N135" s="24" t="b">
        <v>1</v>
      </c>
      <c r="O135" s="2" t="n">
        <v>41275</v>
      </c>
      <c r="P135" t="inlineStr">
        <is>
          <t>Processed</t>
        </is>
      </c>
      <c r="Q135" s="36" t="inlineStr">
        <is>
          <t>No Match Found</t>
        </is>
      </c>
      <c r="R135" s="36" t="inlineStr">
        <is>
          <t>NA</t>
        </is>
      </c>
      <c r="S135" s="24" t="n">
        <v>41275</v>
      </c>
      <c r="T135" s="24" t="b">
        <v>1</v>
      </c>
      <c r="U135" s="2" t="n">
        <v>41852</v>
      </c>
      <c r="V135" s="36" t="inlineStr">
        <is>
          <t>No Match Found</t>
        </is>
      </c>
      <c r="W135" s="36" t="inlineStr">
        <is>
          <t>NA</t>
        </is>
      </c>
      <c r="X135" s="24" t="n">
        <v>41852</v>
      </c>
      <c r="Y135" s="24" t="b">
        <v>1</v>
      </c>
      <c r="AA135" s="39" t="inlineStr">
        <is>
          <t>No Match Found</t>
        </is>
      </c>
      <c r="AB135" s="39" t="inlineStr">
        <is>
          <t>NA</t>
        </is>
      </c>
      <c r="AD135" s="27" t="b">
        <v>1</v>
      </c>
      <c r="AE135" s="1" t="inlineStr">
        <is>
          <t>X</t>
        </is>
      </c>
      <c r="AF135" s="1" t="inlineStr">
        <is>
          <t>N</t>
        </is>
      </c>
      <c r="AG135" s="3" t="n">
        <v>0</v>
      </c>
      <c r="AH135" s="1" t="inlineStr">
        <is>
          <t>N</t>
        </is>
      </c>
      <c r="AI135" s="1" t="inlineStr">
        <is>
          <t>N</t>
        </is>
      </c>
      <c r="AJ135" s="4" t="n">
        <v>0</v>
      </c>
      <c r="AK135" s="5" t="n">
        <v>0</v>
      </c>
      <c r="AL135" s="41" t="inlineStr">
        <is>
          <t>No Match Found</t>
        </is>
      </c>
      <c r="AM135" s="41" t="inlineStr">
        <is>
          <t>NA</t>
        </is>
      </c>
      <c r="AN135" s="5" t="n">
        <v>2</v>
      </c>
      <c r="AO135" s="29" t="n">
        <v>2</v>
      </c>
      <c r="AP135" s="29" t="b">
        <v>1</v>
      </c>
      <c r="AQ135" s="4" t="n">
        <v>0</v>
      </c>
      <c r="AR135" s="47" t="inlineStr">
        <is>
          <t>No Match Found</t>
        </is>
      </c>
      <c r="AS135" s="47" t="inlineStr">
        <is>
          <t>NA</t>
        </is>
      </c>
      <c r="AT135" s="4" t="n">
        <v>0</v>
      </c>
      <c r="AU135" s="4" t="n">
        <v>0</v>
      </c>
      <c r="AV135" s="47" t="inlineStr">
        <is>
          <t>No Match Found</t>
        </is>
      </c>
      <c r="AW135" s="47" t="inlineStr">
        <is>
          <t>NA</t>
        </is>
      </c>
      <c r="AX135" s="4" t="n">
        <v>0</v>
      </c>
      <c r="AY135" s="47" t="inlineStr">
        <is>
          <t>No Match Found</t>
        </is>
      </c>
      <c r="AZ135" s="47" t="inlineStr">
        <is>
          <t>NA</t>
        </is>
      </c>
      <c r="BA135" s="4" t="n">
        <v>0</v>
      </c>
      <c r="BB135" s="4" t="n">
        <v>0</v>
      </c>
      <c r="BC135" s="4" t="n">
        <v>0</v>
      </c>
      <c r="BD135" s="4" t="n">
        <v>0</v>
      </c>
      <c r="BE135" s="47" t="inlineStr">
        <is>
          <t>No Match Found</t>
        </is>
      </c>
      <c r="BF135" s="47" t="inlineStr">
        <is>
          <t>NA</t>
        </is>
      </c>
      <c r="BG135" s="6" t="n">
        <v>0</v>
      </c>
      <c r="BH135" s="53" t="inlineStr">
        <is>
          <t>No Match Found</t>
        </is>
      </c>
      <c r="BI135" s="53" t="inlineStr">
        <is>
          <t>NA</t>
        </is>
      </c>
      <c r="BJ135" s="4" t="n">
        <v>0</v>
      </c>
      <c r="BK135" s="4" t="n">
        <v>0</v>
      </c>
    </row>
    <row r="136">
      <c r="A136" t="n">
        <v>30</v>
      </c>
      <c r="B136" s="1" t="n"/>
      <c r="C136" s="1" t="n"/>
      <c r="D136" s="1" t="inlineStr"/>
      <c r="E136" s="2" t="n">
        <v>31141</v>
      </c>
      <c r="F136" s="36" t="inlineStr">
        <is>
          <t>No Match Found</t>
        </is>
      </c>
      <c r="G136" s="36" t="inlineStr">
        <is>
          <t>NA</t>
        </is>
      </c>
      <c r="H136" s="24" t="n">
        <v>31141</v>
      </c>
      <c r="I136" s="24" t="b">
        <v>1</v>
      </c>
      <c r="J136" s="2" t="n">
        <v>41275</v>
      </c>
      <c r="K136" s="36" t="inlineStr">
        <is>
          <t>No Match Found</t>
        </is>
      </c>
      <c r="L136" s="36" t="inlineStr">
        <is>
          <t>NA</t>
        </is>
      </c>
      <c r="M136" s="24" t="n">
        <v>41275</v>
      </c>
      <c r="N136" s="24" t="b">
        <v>1</v>
      </c>
      <c r="O136" s="2" t="n">
        <v>41275</v>
      </c>
      <c r="P136" t="inlineStr">
        <is>
          <t>Processed</t>
        </is>
      </c>
      <c r="Q136" s="36" t="inlineStr">
        <is>
          <t>No Match Found</t>
        </is>
      </c>
      <c r="R136" s="36" t="inlineStr">
        <is>
          <t>NA</t>
        </is>
      </c>
      <c r="S136" s="24" t="n">
        <v>41275</v>
      </c>
      <c r="T136" s="24" t="b">
        <v>1</v>
      </c>
      <c r="U136" s="2" t="n">
        <v>42174</v>
      </c>
      <c r="V136" s="36" t="inlineStr">
        <is>
          <t>No Match Found</t>
        </is>
      </c>
      <c r="W136" s="36" t="inlineStr">
        <is>
          <t>NA</t>
        </is>
      </c>
      <c r="X136" s="24" t="n">
        <v>42174</v>
      </c>
      <c r="Y136" s="24" t="b">
        <v>1</v>
      </c>
      <c r="AA136" s="39" t="inlineStr">
        <is>
          <t>No Match Found</t>
        </is>
      </c>
      <c r="AB136" s="39" t="inlineStr">
        <is>
          <t>NA</t>
        </is>
      </c>
      <c r="AD136" s="27" t="b">
        <v>1</v>
      </c>
      <c r="AE136" s="1" t="inlineStr">
        <is>
          <t>X</t>
        </is>
      </c>
      <c r="AF136" s="1" t="inlineStr">
        <is>
          <t>N</t>
        </is>
      </c>
      <c r="AG136" s="3" t="n">
        <v>0</v>
      </c>
      <c r="AH136" s="1" t="inlineStr">
        <is>
          <t>N</t>
        </is>
      </c>
      <c r="AI136" s="1" t="inlineStr">
        <is>
          <t>N</t>
        </is>
      </c>
      <c r="AJ136" s="4" t="n">
        <v>4840.35</v>
      </c>
      <c r="AK136" s="5" t="n">
        <v>0</v>
      </c>
      <c r="AL136" s="41" t="inlineStr">
        <is>
          <t>No Match Found</t>
        </is>
      </c>
      <c r="AM136" s="41" t="inlineStr">
        <is>
          <t>NA</t>
        </is>
      </c>
      <c r="AN136" s="5" t="n">
        <v>3</v>
      </c>
      <c r="AO136" s="29" t="n">
        <v>3</v>
      </c>
      <c r="AP136" s="29" t="b">
        <v>1</v>
      </c>
      <c r="AQ136" s="4" t="n">
        <v>0</v>
      </c>
      <c r="AR136" s="47" t="inlineStr">
        <is>
          <t>No Match Found</t>
        </is>
      </c>
      <c r="AS136" s="47" t="inlineStr">
        <is>
          <t>NA</t>
        </is>
      </c>
      <c r="AT136" s="4" t="n">
        <v>0</v>
      </c>
      <c r="AU136" s="4" t="n">
        <v>0</v>
      </c>
      <c r="AV136" s="47" t="inlineStr">
        <is>
          <t>No Match Found</t>
        </is>
      </c>
      <c r="AW136" s="47" t="inlineStr">
        <is>
          <t>NA</t>
        </is>
      </c>
      <c r="AX136" s="4" t="n">
        <v>0</v>
      </c>
      <c r="AY136" s="47" t="inlineStr">
        <is>
          <t>No Match Found</t>
        </is>
      </c>
      <c r="AZ136" s="47" t="inlineStr">
        <is>
          <t>NA</t>
        </is>
      </c>
      <c r="BA136" s="4" t="n">
        <v>0</v>
      </c>
      <c r="BB136" s="4" t="n">
        <v>0</v>
      </c>
      <c r="BC136" s="4" t="n">
        <v>0</v>
      </c>
      <c r="BD136" s="4" t="n">
        <v>0</v>
      </c>
      <c r="BE136" s="47" t="inlineStr">
        <is>
          <t>No Match Found</t>
        </is>
      </c>
      <c r="BF136" s="47" t="inlineStr">
        <is>
          <t>NA</t>
        </is>
      </c>
      <c r="BG136" s="6" t="n">
        <v>0</v>
      </c>
      <c r="BH136" s="53" t="inlineStr">
        <is>
          <t>No Match Found</t>
        </is>
      </c>
      <c r="BI136" s="53" t="inlineStr">
        <is>
          <t>NA</t>
        </is>
      </c>
      <c r="BJ136" s="4" t="n">
        <v>0</v>
      </c>
      <c r="BK136" s="4" t="n">
        <v>0</v>
      </c>
    </row>
    <row r="137">
      <c r="A137" t="n">
        <v>31</v>
      </c>
      <c r="B137" s="1" t="n"/>
      <c r="C137" s="1" t="n"/>
      <c r="D137" s="1" t="inlineStr"/>
      <c r="E137" s="2" t="n">
        <v>28912</v>
      </c>
      <c r="F137" s="36" t="inlineStr">
        <is>
          <t>No Match Found</t>
        </is>
      </c>
      <c r="G137" s="36" t="inlineStr">
        <is>
          <t>NA</t>
        </is>
      </c>
      <c r="H137" s="24" t="n">
        <v>28912</v>
      </c>
      <c r="I137" s="24" t="b">
        <v>1</v>
      </c>
      <c r="J137" s="2" t="n">
        <v>41275</v>
      </c>
      <c r="K137" s="36" t="inlineStr">
        <is>
          <t>No Match Found</t>
        </is>
      </c>
      <c r="L137" s="36" t="inlineStr">
        <is>
          <t>NA</t>
        </is>
      </c>
      <c r="M137" s="24" t="n">
        <v>41275</v>
      </c>
      <c r="N137" s="24" t="b">
        <v>1</v>
      </c>
      <c r="O137" s="2" t="n">
        <v>41275</v>
      </c>
      <c r="P137" t="inlineStr">
        <is>
          <t>Processed</t>
        </is>
      </c>
      <c r="Q137" s="36" t="inlineStr">
        <is>
          <t>No Match Found</t>
        </is>
      </c>
      <c r="R137" s="36" t="inlineStr">
        <is>
          <t>NA</t>
        </is>
      </c>
      <c r="S137" s="24" t="n">
        <v>41275</v>
      </c>
      <c r="T137" s="24" t="b">
        <v>1</v>
      </c>
      <c r="U137" s="2" t="n">
        <v>43742</v>
      </c>
      <c r="V137" s="36" t="inlineStr">
        <is>
          <t>No Match Found</t>
        </is>
      </c>
      <c r="W137" s="36" t="inlineStr">
        <is>
          <t>NA</t>
        </is>
      </c>
      <c r="X137" s="24" t="n">
        <v>43742</v>
      </c>
      <c r="Y137" s="24" t="b">
        <v>1</v>
      </c>
      <c r="AA137" s="39" t="inlineStr">
        <is>
          <t>No Match Found</t>
        </is>
      </c>
      <c r="AB137" s="39" t="inlineStr">
        <is>
          <t>NA</t>
        </is>
      </c>
      <c r="AD137" s="27" t="b">
        <v>1</v>
      </c>
      <c r="AE137" s="1" t="inlineStr">
        <is>
          <t>X</t>
        </is>
      </c>
      <c r="AF137" s="1" t="inlineStr">
        <is>
          <t>N</t>
        </is>
      </c>
      <c r="AG137" s="3" t="n">
        <v>0</v>
      </c>
      <c r="AH137" s="1" t="inlineStr">
        <is>
          <t>N</t>
        </is>
      </c>
      <c r="AI137" s="1" t="inlineStr">
        <is>
          <t>N</t>
        </is>
      </c>
      <c r="AJ137" s="4" t="n">
        <v>0</v>
      </c>
      <c r="AK137" s="5" t="n">
        <v>0</v>
      </c>
      <c r="AL137" s="41" t="inlineStr">
        <is>
          <t>No Match Found</t>
        </is>
      </c>
      <c r="AM137" s="41" t="inlineStr">
        <is>
          <t>NA</t>
        </is>
      </c>
      <c r="AN137" s="5" t="n">
        <v>13</v>
      </c>
      <c r="AO137" s="29" t="n">
        <v>13</v>
      </c>
      <c r="AP137" s="29" t="b">
        <v>1</v>
      </c>
      <c r="AQ137" s="4" t="n">
        <v>0</v>
      </c>
      <c r="AR137" s="47" t="inlineStr">
        <is>
          <t>No Match Found</t>
        </is>
      </c>
      <c r="AS137" s="47" t="inlineStr">
        <is>
          <t>NA</t>
        </is>
      </c>
      <c r="AT137" s="4" t="n">
        <v>0</v>
      </c>
      <c r="AU137" s="4" t="n">
        <v>0</v>
      </c>
      <c r="AV137" s="47" t="inlineStr">
        <is>
          <t>No Match Found</t>
        </is>
      </c>
      <c r="AW137" s="47" t="inlineStr">
        <is>
          <t>NA</t>
        </is>
      </c>
      <c r="AX137" s="4" t="n">
        <v>0</v>
      </c>
      <c r="AY137" s="47" t="inlineStr">
        <is>
          <t>No Match Found</t>
        </is>
      </c>
      <c r="AZ137" s="47" t="inlineStr">
        <is>
          <t>NA</t>
        </is>
      </c>
      <c r="BA137" s="4" t="n">
        <v>0</v>
      </c>
      <c r="BB137" s="4" t="n">
        <v>0</v>
      </c>
      <c r="BC137" s="4" t="n">
        <v>0</v>
      </c>
      <c r="BD137" s="4" t="n">
        <v>0</v>
      </c>
      <c r="BE137" s="47" t="inlineStr">
        <is>
          <t>No Match Found</t>
        </is>
      </c>
      <c r="BF137" s="47" t="inlineStr">
        <is>
          <t>NA</t>
        </is>
      </c>
      <c r="BG137" s="6" t="n">
        <v>0</v>
      </c>
      <c r="BH137" s="53" t="inlineStr">
        <is>
          <t>No Match Found</t>
        </is>
      </c>
      <c r="BI137" s="53" t="inlineStr">
        <is>
          <t>NA</t>
        </is>
      </c>
      <c r="BJ137" s="4" t="n">
        <v>0</v>
      </c>
      <c r="BK137" s="4" t="n">
        <v>0</v>
      </c>
    </row>
    <row r="138">
      <c r="A138" t="n">
        <v>32</v>
      </c>
      <c r="B138" s="1" t="n"/>
      <c r="C138" s="1" t="n"/>
      <c r="D138" s="1" t="inlineStr"/>
      <c r="E138" s="2" t="n">
        <v>31601</v>
      </c>
      <c r="F138" s="36" t="inlineStr">
        <is>
          <t>No Match Found</t>
        </is>
      </c>
      <c r="G138" s="36" t="inlineStr">
        <is>
          <t>NA</t>
        </is>
      </c>
      <c r="H138" s="24" t="n">
        <v>31601</v>
      </c>
      <c r="I138" s="24" t="b">
        <v>1</v>
      </c>
      <c r="J138" s="2" t="n">
        <v>41750</v>
      </c>
      <c r="K138" s="36" t="inlineStr">
        <is>
          <t>No Match Found</t>
        </is>
      </c>
      <c r="L138" s="36" t="inlineStr">
        <is>
          <t>NA</t>
        </is>
      </c>
      <c r="M138" s="24" t="n">
        <v>41750</v>
      </c>
      <c r="N138" s="24" t="b">
        <v>1</v>
      </c>
      <c r="O138" s="2" t="n">
        <v>41852</v>
      </c>
      <c r="P138" t="inlineStr">
        <is>
          <t>Processed</t>
        </is>
      </c>
      <c r="Q138" s="36" t="inlineStr">
        <is>
          <t>No Match Found</t>
        </is>
      </c>
      <c r="R138" s="36" t="inlineStr">
        <is>
          <t>NA</t>
        </is>
      </c>
      <c r="S138" s="24" t="n">
        <v>41852</v>
      </c>
      <c r="T138" s="24" t="b">
        <v>1</v>
      </c>
      <c r="U138" s="2" t="n">
        <v>43864</v>
      </c>
      <c r="V138" s="36" t="inlineStr">
        <is>
          <t>No Match Found</t>
        </is>
      </c>
      <c r="W138" s="36" t="inlineStr">
        <is>
          <t>NA</t>
        </is>
      </c>
      <c r="X138" s="24" t="n">
        <v>43864</v>
      </c>
      <c r="Y138" s="24" t="b">
        <v>1</v>
      </c>
      <c r="AA138" s="39" t="inlineStr">
        <is>
          <t>No Match Found</t>
        </is>
      </c>
      <c r="AB138" s="39" t="inlineStr">
        <is>
          <t>NA</t>
        </is>
      </c>
      <c r="AD138" s="27" t="b">
        <v>1</v>
      </c>
      <c r="AE138" s="1" t="inlineStr">
        <is>
          <t>X</t>
        </is>
      </c>
      <c r="AF138" s="1" t="inlineStr">
        <is>
          <t>N</t>
        </is>
      </c>
      <c r="AG138" s="3" t="n">
        <v>0</v>
      </c>
      <c r="AH138" s="1" t="inlineStr">
        <is>
          <t>N</t>
        </is>
      </c>
      <c r="AI138" s="1" t="inlineStr">
        <is>
          <t>N</t>
        </is>
      </c>
      <c r="AJ138" s="4" t="n">
        <v>0</v>
      </c>
      <c r="AK138" s="5" t="n">
        <v>0</v>
      </c>
      <c r="AL138" s="41" t="inlineStr">
        <is>
          <t>No Match Found</t>
        </is>
      </c>
      <c r="AM138" s="41" t="inlineStr">
        <is>
          <t>NA</t>
        </is>
      </c>
      <c r="AN138" s="5" t="n">
        <v>6</v>
      </c>
      <c r="AO138" s="29" t="n">
        <v>6</v>
      </c>
      <c r="AP138" s="29" t="b">
        <v>1</v>
      </c>
      <c r="AQ138" s="4" t="n">
        <v>0</v>
      </c>
      <c r="AR138" s="47" t="inlineStr">
        <is>
          <t>No Match Found</t>
        </is>
      </c>
      <c r="AS138" s="47" t="inlineStr">
        <is>
          <t>NA</t>
        </is>
      </c>
      <c r="AT138" s="4" t="n">
        <v>0</v>
      </c>
      <c r="AU138" s="4" t="n">
        <v>0</v>
      </c>
      <c r="AV138" s="47" t="inlineStr">
        <is>
          <t>No Match Found</t>
        </is>
      </c>
      <c r="AW138" s="47" t="inlineStr">
        <is>
          <t>NA</t>
        </is>
      </c>
      <c r="AX138" s="4" t="n">
        <v>0</v>
      </c>
      <c r="AY138" s="47" t="inlineStr">
        <is>
          <t>No Match Found</t>
        </is>
      </c>
      <c r="AZ138" s="47" t="inlineStr">
        <is>
          <t>NA</t>
        </is>
      </c>
      <c r="BA138" s="4" t="n">
        <v>0</v>
      </c>
      <c r="BB138" s="4" t="n">
        <v>0</v>
      </c>
      <c r="BC138" s="4" t="n">
        <v>0</v>
      </c>
      <c r="BD138" s="4" t="n">
        <v>0</v>
      </c>
      <c r="BE138" s="47" t="inlineStr">
        <is>
          <t>No Match Found</t>
        </is>
      </c>
      <c r="BF138" s="47" t="inlineStr">
        <is>
          <t>NA</t>
        </is>
      </c>
      <c r="BG138" s="6" t="n">
        <v>0</v>
      </c>
      <c r="BH138" s="53" t="inlineStr">
        <is>
          <t>No Match Found</t>
        </is>
      </c>
      <c r="BI138" s="53" t="inlineStr">
        <is>
          <t>NA</t>
        </is>
      </c>
      <c r="BJ138" s="4" t="n">
        <v>0</v>
      </c>
      <c r="BK138" s="4" t="n">
        <v>0</v>
      </c>
    </row>
    <row r="139">
      <c r="A139" t="n">
        <v>33</v>
      </c>
      <c r="B139" s="1" t="n"/>
      <c r="C139" s="1" t="n"/>
      <c r="D139" s="1" t="inlineStr"/>
      <c r="E139" s="2" t="n">
        <v>30697</v>
      </c>
      <c r="F139" s="36" t="inlineStr">
        <is>
          <t>No Match Found</t>
        </is>
      </c>
      <c r="G139" s="36" t="inlineStr">
        <is>
          <t>NA</t>
        </is>
      </c>
      <c r="H139" s="24" t="n">
        <v>30697</v>
      </c>
      <c r="I139" s="24" t="b">
        <v>1</v>
      </c>
      <c r="J139" s="2" t="n">
        <v>41771</v>
      </c>
      <c r="K139" s="36" t="inlineStr">
        <is>
          <t>No Match Found</t>
        </is>
      </c>
      <c r="L139" s="36" t="inlineStr">
        <is>
          <t>NA</t>
        </is>
      </c>
      <c r="M139" s="24" t="n">
        <v>41771</v>
      </c>
      <c r="N139" s="24" t="b">
        <v>1</v>
      </c>
      <c r="O139" s="2" t="n">
        <v>41883</v>
      </c>
      <c r="P139" t="inlineStr">
        <is>
          <t>Processed</t>
        </is>
      </c>
      <c r="Q139" s="36" t="inlineStr">
        <is>
          <t>No Match Found</t>
        </is>
      </c>
      <c r="R139" s="36" t="inlineStr">
        <is>
          <t>NA</t>
        </is>
      </c>
      <c r="S139" s="24" t="n">
        <v>41883</v>
      </c>
      <c r="T139" s="24" t="b">
        <v>1</v>
      </c>
      <c r="U139" s="2" t="n">
        <v>44813</v>
      </c>
      <c r="V139" s="36" t="inlineStr">
        <is>
          <t>No Match Found</t>
        </is>
      </c>
      <c r="W139" s="36" t="inlineStr">
        <is>
          <t>NA</t>
        </is>
      </c>
      <c r="X139" s="24" t="n">
        <v>44813</v>
      </c>
      <c r="Y139" s="24" t="b">
        <v>1</v>
      </c>
      <c r="AA139" s="39" t="inlineStr">
        <is>
          <t>No Match Found</t>
        </is>
      </c>
      <c r="AB139" s="39" t="inlineStr">
        <is>
          <t>NA</t>
        </is>
      </c>
      <c r="AD139" s="27" t="b">
        <v>1</v>
      </c>
      <c r="AE139" s="1" t="inlineStr">
        <is>
          <t>X</t>
        </is>
      </c>
      <c r="AF139" s="1" t="inlineStr">
        <is>
          <t>N</t>
        </is>
      </c>
      <c r="AG139" s="3" t="n">
        <v>0</v>
      </c>
      <c r="AH139" s="1" t="inlineStr">
        <is>
          <t>N</t>
        </is>
      </c>
      <c r="AI139" s="1" t="inlineStr">
        <is>
          <t>N</t>
        </is>
      </c>
      <c r="AJ139" s="4" t="n">
        <v>0</v>
      </c>
      <c r="AK139" s="5" t="n">
        <v>0</v>
      </c>
      <c r="AL139" s="41" t="inlineStr">
        <is>
          <t>No Match Found</t>
        </is>
      </c>
      <c r="AM139" s="41" t="inlineStr">
        <is>
          <t>NA</t>
        </is>
      </c>
      <c r="AN139" s="5" t="n">
        <v>8</v>
      </c>
      <c r="AO139" s="29" t="n">
        <v>8</v>
      </c>
      <c r="AP139" s="29" t="b">
        <v>1</v>
      </c>
      <c r="AQ139" s="4" t="n">
        <v>0</v>
      </c>
      <c r="AR139" s="47" t="inlineStr">
        <is>
          <t>No Match Found</t>
        </is>
      </c>
      <c r="AS139" s="47" t="inlineStr">
        <is>
          <t>NA</t>
        </is>
      </c>
      <c r="AT139" s="4" t="n">
        <v>0</v>
      </c>
      <c r="AU139" s="4" t="n">
        <v>0</v>
      </c>
      <c r="AV139" s="47" t="inlineStr">
        <is>
          <t>No Match Found</t>
        </is>
      </c>
      <c r="AW139" s="47" t="inlineStr">
        <is>
          <t>NA</t>
        </is>
      </c>
      <c r="AX139" s="4" t="n">
        <v>0</v>
      </c>
      <c r="AY139" s="47" t="inlineStr">
        <is>
          <t>No Match Found</t>
        </is>
      </c>
      <c r="AZ139" s="47" t="inlineStr">
        <is>
          <t>NA</t>
        </is>
      </c>
      <c r="BA139" s="4" t="n">
        <v>0</v>
      </c>
      <c r="BB139" s="4" t="n">
        <v>0</v>
      </c>
      <c r="BC139" s="4" t="n">
        <v>0</v>
      </c>
      <c r="BD139" s="4" t="n">
        <v>0</v>
      </c>
      <c r="BE139" s="47" t="inlineStr">
        <is>
          <t>No Match Found</t>
        </is>
      </c>
      <c r="BF139" s="47" t="inlineStr">
        <is>
          <t>NA</t>
        </is>
      </c>
      <c r="BG139" s="6" t="n">
        <v>0</v>
      </c>
      <c r="BH139" s="53" t="inlineStr">
        <is>
          <t>No Match Found</t>
        </is>
      </c>
      <c r="BI139" s="53" t="inlineStr">
        <is>
          <t>NA</t>
        </is>
      </c>
      <c r="BJ139" s="4" t="n">
        <v>0</v>
      </c>
      <c r="BK139" s="4" t="n">
        <v>0</v>
      </c>
    </row>
    <row r="140">
      <c r="A140" t="n">
        <v>34</v>
      </c>
      <c r="B140" s="1" t="n"/>
      <c r="C140" s="1" t="n"/>
      <c r="D140" s="1" t="inlineStr"/>
      <c r="E140" s="2" t="n">
        <v>20913</v>
      </c>
      <c r="F140" s="36" t="inlineStr">
        <is>
          <t>No Match Found</t>
        </is>
      </c>
      <c r="G140" s="36" t="inlineStr">
        <is>
          <t>NA</t>
        </is>
      </c>
      <c r="H140" s="24" t="n">
        <v>20913</v>
      </c>
      <c r="I140" s="24" t="b">
        <v>1</v>
      </c>
      <c r="J140" s="2" t="n">
        <v>41884</v>
      </c>
      <c r="K140" s="36" t="inlineStr">
        <is>
          <t>No Match Found</t>
        </is>
      </c>
      <c r="L140" s="36" t="inlineStr">
        <is>
          <t>NA</t>
        </is>
      </c>
      <c r="M140" s="24" t="n">
        <v>41884</v>
      </c>
      <c r="N140" s="24" t="b">
        <v>1</v>
      </c>
      <c r="O140" s="2" t="n">
        <v>41913</v>
      </c>
      <c r="P140" t="inlineStr">
        <is>
          <t>Processed</t>
        </is>
      </c>
      <c r="Q140" s="36" t="inlineStr">
        <is>
          <t>No Match Found</t>
        </is>
      </c>
      <c r="R140" s="36" t="inlineStr">
        <is>
          <t>NA</t>
        </is>
      </c>
      <c r="S140" s="24" t="n">
        <v>41913</v>
      </c>
      <c r="T140" s="24" t="b">
        <v>1</v>
      </c>
      <c r="U140" s="2" t="n">
        <v>44678</v>
      </c>
      <c r="V140" s="36" t="inlineStr">
        <is>
          <t>No Match Found</t>
        </is>
      </c>
      <c r="W140" s="36" t="inlineStr">
        <is>
          <t>NA</t>
        </is>
      </c>
      <c r="X140" s="24" t="n">
        <v>44678</v>
      </c>
      <c r="Y140" s="24" t="b">
        <v>1</v>
      </c>
      <c r="AA140" s="39" t="inlineStr">
        <is>
          <t>No Match Found</t>
        </is>
      </c>
      <c r="AB140" s="39" t="inlineStr">
        <is>
          <t>NA</t>
        </is>
      </c>
      <c r="AD140" s="27" t="b">
        <v>1</v>
      </c>
      <c r="AE140" s="1" t="inlineStr">
        <is>
          <t>X</t>
        </is>
      </c>
      <c r="AF140" s="1" t="inlineStr">
        <is>
          <t>N</t>
        </is>
      </c>
      <c r="AG140" s="3" t="n">
        <v>0</v>
      </c>
      <c r="AH140" s="1" t="inlineStr">
        <is>
          <t>N</t>
        </is>
      </c>
      <c r="AI140" s="1" t="inlineStr">
        <is>
          <t>N</t>
        </is>
      </c>
      <c r="AJ140" s="4" t="n">
        <v>0</v>
      </c>
      <c r="AK140" s="5" t="n">
        <v>0</v>
      </c>
      <c r="AL140" s="41" t="inlineStr">
        <is>
          <t>No Match Found</t>
        </is>
      </c>
      <c r="AM140" s="41" t="inlineStr">
        <is>
          <t>NA</t>
        </is>
      </c>
      <c r="AN140" s="5" t="n">
        <v>13</v>
      </c>
      <c r="AO140" s="29" t="n">
        <v>13</v>
      </c>
      <c r="AP140" s="29" t="b">
        <v>1</v>
      </c>
      <c r="AQ140" s="4" t="n">
        <v>0</v>
      </c>
      <c r="AR140" s="47" t="inlineStr">
        <is>
          <t>No Match Found</t>
        </is>
      </c>
      <c r="AS140" s="47" t="inlineStr">
        <is>
          <t>NA</t>
        </is>
      </c>
      <c r="AT140" s="4" t="n">
        <v>0</v>
      </c>
      <c r="AU140" s="4" t="n">
        <v>0</v>
      </c>
      <c r="AV140" s="47" t="inlineStr">
        <is>
          <t>No Match Found</t>
        </is>
      </c>
      <c r="AW140" s="47" t="inlineStr">
        <is>
          <t>NA</t>
        </is>
      </c>
      <c r="AX140" s="4" t="n">
        <v>0</v>
      </c>
      <c r="AY140" s="47" t="inlineStr">
        <is>
          <t>No Match Found</t>
        </is>
      </c>
      <c r="AZ140" s="47" t="inlineStr">
        <is>
          <t>NA</t>
        </is>
      </c>
      <c r="BA140" s="4" t="n">
        <v>0</v>
      </c>
      <c r="BB140" s="4" t="n">
        <v>0</v>
      </c>
      <c r="BC140" s="4" t="n">
        <v>0</v>
      </c>
      <c r="BD140" s="4" t="n">
        <v>0</v>
      </c>
      <c r="BE140" s="47" t="inlineStr">
        <is>
          <t>No Match Found</t>
        </is>
      </c>
      <c r="BF140" s="47" t="inlineStr">
        <is>
          <t>NA</t>
        </is>
      </c>
      <c r="BG140" s="6" t="n">
        <v>0</v>
      </c>
      <c r="BH140" s="53" t="inlineStr">
        <is>
          <t>No Match Found</t>
        </is>
      </c>
      <c r="BI140" s="53" t="inlineStr">
        <is>
          <t>NA</t>
        </is>
      </c>
      <c r="BJ140" s="4" t="n">
        <v>0</v>
      </c>
      <c r="BK140" s="4" t="n">
        <v>0</v>
      </c>
    </row>
    <row r="141">
      <c r="A141" t="n">
        <v>35</v>
      </c>
      <c r="B141" s="1" t="n"/>
      <c r="C141" s="1" t="n"/>
      <c r="D141" s="1" t="inlineStr"/>
      <c r="E141" s="2" t="n">
        <v>31346</v>
      </c>
      <c r="F141" s="36" t="inlineStr">
        <is>
          <t>No Match Found</t>
        </is>
      </c>
      <c r="G141" s="36" t="inlineStr">
        <is>
          <t>NA</t>
        </is>
      </c>
      <c r="H141" s="24" t="n">
        <v>31346</v>
      </c>
      <c r="I141" s="24" t="b">
        <v>1</v>
      </c>
      <c r="J141" s="2" t="n">
        <v>41890</v>
      </c>
      <c r="K141" s="36" t="inlineStr">
        <is>
          <t>No Match Found</t>
        </is>
      </c>
      <c r="L141" s="36" t="inlineStr">
        <is>
          <t>NA</t>
        </is>
      </c>
      <c r="M141" s="24" t="n">
        <v>41890</v>
      </c>
      <c r="N141" s="24" t="b">
        <v>1</v>
      </c>
      <c r="O141" s="2" t="n">
        <v>42005</v>
      </c>
      <c r="P141" t="inlineStr">
        <is>
          <t>Processed</t>
        </is>
      </c>
      <c r="Q141" s="36" t="inlineStr">
        <is>
          <t>No Match Found</t>
        </is>
      </c>
      <c r="R141" s="36" t="inlineStr">
        <is>
          <t>NA</t>
        </is>
      </c>
      <c r="S141" s="24" t="n">
        <v>42005</v>
      </c>
      <c r="T141" s="24" t="b">
        <v>1</v>
      </c>
      <c r="U141" s="2" t="n">
        <v>42193</v>
      </c>
      <c r="V141" s="36" t="inlineStr">
        <is>
          <t>No Match Found</t>
        </is>
      </c>
      <c r="W141" s="36" t="inlineStr">
        <is>
          <t>NA</t>
        </is>
      </c>
      <c r="X141" s="24" t="n">
        <v>42193</v>
      </c>
      <c r="Y141" s="24" t="b">
        <v>1</v>
      </c>
      <c r="AA141" s="39" t="inlineStr">
        <is>
          <t>No Match Found</t>
        </is>
      </c>
      <c r="AB141" s="39" t="inlineStr">
        <is>
          <t>NA</t>
        </is>
      </c>
      <c r="AD141" s="27" t="b">
        <v>1</v>
      </c>
      <c r="AE141" s="1" t="inlineStr">
        <is>
          <t>X</t>
        </is>
      </c>
      <c r="AF141" s="1" t="inlineStr">
        <is>
          <t>N</t>
        </is>
      </c>
      <c r="AG141" s="3" t="n">
        <v>0</v>
      </c>
      <c r="AH141" s="1" t="inlineStr">
        <is>
          <t>N</t>
        </is>
      </c>
      <c r="AI141" s="1" t="inlineStr">
        <is>
          <t>N</t>
        </is>
      </c>
      <c r="AJ141" s="4" t="n">
        <v>30633.88</v>
      </c>
      <c r="AK141" s="5" t="n">
        <v>0</v>
      </c>
      <c r="AL141" s="41" t="inlineStr">
        <is>
          <t>No Match Found</t>
        </is>
      </c>
      <c r="AM141" s="41" t="inlineStr">
        <is>
          <t>NA</t>
        </is>
      </c>
      <c r="AN141" s="5" t="n">
        <v>1</v>
      </c>
      <c r="AO141" s="29" t="n">
        <v>1</v>
      </c>
      <c r="AP141" s="29" t="b">
        <v>1</v>
      </c>
      <c r="AQ141" s="4" t="n">
        <v>0</v>
      </c>
      <c r="AR141" s="47" t="inlineStr">
        <is>
          <t>No Match Found</t>
        </is>
      </c>
      <c r="AS141" s="47" t="inlineStr">
        <is>
          <t>NA</t>
        </is>
      </c>
      <c r="AT141" s="4" t="n">
        <v>0</v>
      </c>
      <c r="AU141" s="4" t="n">
        <v>0</v>
      </c>
      <c r="AV141" s="47" t="inlineStr">
        <is>
          <t>No Match Found</t>
        </is>
      </c>
      <c r="AW141" s="47" t="inlineStr">
        <is>
          <t>NA</t>
        </is>
      </c>
      <c r="AX141" s="4" t="n">
        <v>0</v>
      </c>
      <c r="AY141" s="47" t="inlineStr">
        <is>
          <t>No Match Found</t>
        </is>
      </c>
      <c r="AZ141" s="47" t="inlineStr">
        <is>
          <t>NA</t>
        </is>
      </c>
      <c r="BA141" s="4" t="n">
        <v>0</v>
      </c>
      <c r="BB141" s="4" t="n">
        <v>0</v>
      </c>
      <c r="BC141" s="4" t="n">
        <v>0</v>
      </c>
      <c r="BD141" s="4" t="n">
        <v>0</v>
      </c>
      <c r="BE141" s="47" t="inlineStr">
        <is>
          <t>No Match Found</t>
        </is>
      </c>
      <c r="BF141" s="47" t="inlineStr">
        <is>
          <t>NA</t>
        </is>
      </c>
      <c r="BG141" s="6" t="n">
        <v>0</v>
      </c>
      <c r="BH141" s="53" t="inlineStr">
        <is>
          <t>No Match Found</t>
        </is>
      </c>
      <c r="BI141" s="53" t="inlineStr">
        <is>
          <t>NA</t>
        </is>
      </c>
      <c r="BJ141" s="4" t="n">
        <v>0</v>
      </c>
      <c r="BK141" s="4" t="n">
        <v>0</v>
      </c>
    </row>
    <row r="142">
      <c r="A142" t="n">
        <v>36</v>
      </c>
      <c r="B142" s="1" t="n"/>
      <c r="C142" s="1" t="n"/>
      <c r="D142" s="1" t="inlineStr"/>
      <c r="E142" s="2" t="n">
        <v>33807</v>
      </c>
      <c r="F142" s="36" t="inlineStr">
        <is>
          <t>No Match Found</t>
        </is>
      </c>
      <c r="G142" s="36" t="inlineStr">
        <is>
          <t>NA</t>
        </is>
      </c>
      <c r="H142" s="24" t="n">
        <v>33807</v>
      </c>
      <c r="I142" s="24" t="b">
        <v>1</v>
      </c>
      <c r="J142" s="2" t="n">
        <v>42191</v>
      </c>
      <c r="K142" s="36" t="inlineStr">
        <is>
          <t>No Match Found</t>
        </is>
      </c>
      <c r="L142" s="36" t="inlineStr">
        <is>
          <t>NA</t>
        </is>
      </c>
      <c r="M142" s="24" t="n">
        <v>42191</v>
      </c>
      <c r="N142" s="24" t="b">
        <v>1</v>
      </c>
      <c r="O142" s="2" t="n">
        <v>42309</v>
      </c>
      <c r="P142" t="inlineStr">
        <is>
          <t>Processed</t>
        </is>
      </c>
      <c r="Q142" s="36" t="inlineStr">
        <is>
          <t>No Match Found</t>
        </is>
      </c>
      <c r="R142" s="36" t="inlineStr">
        <is>
          <t>NA</t>
        </is>
      </c>
      <c r="S142" s="24" t="n">
        <v>42309</v>
      </c>
      <c r="T142" s="24" t="b">
        <v>1</v>
      </c>
      <c r="U142" s="2" t="n">
        <v>43321</v>
      </c>
      <c r="V142" s="36" t="inlineStr">
        <is>
          <t>No Match Found</t>
        </is>
      </c>
      <c r="W142" s="36" t="inlineStr">
        <is>
          <t>NA</t>
        </is>
      </c>
      <c r="X142" s="24" t="n">
        <v>43321</v>
      </c>
      <c r="Y142" s="24" t="b">
        <v>1</v>
      </c>
      <c r="AA142" s="39" t="inlineStr">
        <is>
          <t>No Match Found</t>
        </is>
      </c>
      <c r="AB142" s="39" t="inlineStr">
        <is>
          <t>NA</t>
        </is>
      </c>
      <c r="AD142" s="27" t="b">
        <v>1</v>
      </c>
      <c r="AE142" s="1" t="inlineStr">
        <is>
          <t>X</t>
        </is>
      </c>
      <c r="AF142" s="1" t="inlineStr">
        <is>
          <t>N</t>
        </is>
      </c>
      <c r="AG142" s="3" t="n">
        <v>0</v>
      </c>
      <c r="AH142" s="1" t="inlineStr">
        <is>
          <t>N</t>
        </is>
      </c>
      <c r="AI142" s="1" t="inlineStr">
        <is>
          <t>N</t>
        </is>
      </c>
      <c r="AJ142" s="4" t="n">
        <v>2106.53</v>
      </c>
      <c r="AK142" s="5" t="n">
        <v>0</v>
      </c>
      <c r="AL142" s="41" t="inlineStr">
        <is>
          <t>No Match Found</t>
        </is>
      </c>
      <c r="AM142" s="41" t="inlineStr">
        <is>
          <t>NA</t>
        </is>
      </c>
      <c r="AN142" s="5" t="n">
        <v>2</v>
      </c>
      <c r="AO142" s="29" t="n">
        <v>2</v>
      </c>
      <c r="AP142" s="29" t="b">
        <v>1</v>
      </c>
      <c r="AQ142" s="4" t="n">
        <v>0</v>
      </c>
      <c r="AR142" s="47" t="inlineStr">
        <is>
          <t>No Match Found</t>
        </is>
      </c>
      <c r="AS142" s="47" t="inlineStr">
        <is>
          <t>NA</t>
        </is>
      </c>
      <c r="AT142" s="4" t="n">
        <v>0</v>
      </c>
      <c r="AU142" s="4" t="n">
        <v>0</v>
      </c>
      <c r="AV142" s="47" t="inlineStr">
        <is>
          <t>No Match Found</t>
        </is>
      </c>
      <c r="AW142" s="47" t="inlineStr">
        <is>
          <t>NA</t>
        </is>
      </c>
      <c r="AX142" s="4" t="n">
        <v>0</v>
      </c>
      <c r="AY142" s="47" t="inlineStr">
        <is>
          <t>No Match Found</t>
        </is>
      </c>
      <c r="AZ142" s="47" t="inlineStr">
        <is>
          <t>NA</t>
        </is>
      </c>
      <c r="BA142" s="4" t="n">
        <v>0</v>
      </c>
      <c r="BB142" s="4" t="n">
        <v>0</v>
      </c>
      <c r="BC142" s="4" t="n">
        <v>0</v>
      </c>
      <c r="BD142" s="4" t="n">
        <v>0</v>
      </c>
      <c r="BE142" s="47" t="inlineStr">
        <is>
          <t>No Match Found</t>
        </is>
      </c>
      <c r="BF142" s="47" t="inlineStr">
        <is>
          <t>NA</t>
        </is>
      </c>
      <c r="BG142" s="6" t="n">
        <v>0</v>
      </c>
      <c r="BH142" s="53" t="inlineStr">
        <is>
          <t>No Match Found</t>
        </is>
      </c>
      <c r="BI142" s="53" t="inlineStr">
        <is>
          <t>NA</t>
        </is>
      </c>
      <c r="BJ142" s="4" t="n">
        <v>0</v>
      </c>
      <c r="BK142" s="4" t="n">
        <v>0</v>
      </c>
    </row>
    <row r="143">
      <c r="A143" t="n">
        <v>37</v>
      </c>
      <c r="B143" s="1" t="n"/>
      <c r="C143" s="1" t="n"/>
      <c r="D143" s="1" t="inlineStr"/>
      <c r="E143" s="2" t="n">
        <v>34188</v>
      </c>
      <c r="F143" s="36" t="inlineStr">
        <is>
          <t>No Match Found</t>
        </is>
      </c>
      <c r="G143" s="36" t="inlineStr">
        <is>
          <t>NA</t>
        </is>
      </c>
      <c r="H143" s="24" t="n">
        <v>34188</v>
      </c>
      <c r="I143" s="24" t="b">
        <v>1</v>
      </c>
      <c r="J143" s="2" t="n">
        <v>42247</v>
      </c>
      <c r="K143" s="36" t="inlineStr">
        <is>
          <t>No Match Found</t>
        </is>
      </c>
      <c r="L143" s="36" t="inlineStr">
        <is>
          <t>NA</t>
        </is>
      </c>
      <c r="M143" s="24" t="n">
        <v>42247</v>
      </c>
      <c r="N143" s="24" t="b">
        <v>1</v>
      </c>
      <c r="O143" s="2" t="n">
        <v>42718</v>
      </c>
      <c r="P143" t="inlineStr">
        <is>
          <t>Processed</t>
        </is>
      </c>
      <c r="Q143" s="36" t="inlineStr">
        <is>
          <t>No Match Found</t>
        </is>
      </c>
      <c r="R143" s="36" t="inlineStr">
        <is>
          <t>NA</t>
        </is>
      </c>
      <c r="S143" s="24" t="n">
        <v>42718</v>
      </c>
      <c r="T143" s="24" t="b">
        <v>1</v>
      </c>
      <c r="U143" s="2" t="n">
        <v>42902</v>
      </c>
      <c r="V143" s="36" t="inlineStr">
        <is>
          <t>No Match Found</t>
        </is>
      </c>
      <c r="W143" s="36" t="inlineStr">
        <is>
          <t>NA</t>
        </is>
      </c>
      <c r="X143" s="24" t="n">
        <v>42902</v>
      </c>
      <c r="Y143" s="24" t="b">
        <v>1</v>
      </c>
      <c r="AA143" s="39" t="inlineStr">
        <is>
          <t>No Match Found</t>
        </is>
      </c>
      <c r="AB143" s="39" t="inlineStr">
        <is>
          <t>NA</t>
        </is>
      </c>
      <c r="AC143" s="28" t="n">
        <v>42717</v>
      </c>
      <c r="AD143" s="27" t="b">
        <v>0</v>
      </c>
      <c r="AE143" s="1" t="inlineStr">
        <is>
          <t>X</t>
        </is>
      </c>
      <c r="AF143" s="1" t="inlineStr">
        <is>
          <t>N</t>
        </is>
      </c>
      <c r="AG143" s="3" t="n">
        <v>0</v>
      </c>
      <c r="AH143" s="1" t="inlineStr">
        <is>
          <t>N</t>
        </is>
      </c>
      <c r="AI143" s="1" t="inlineStr">
        <is>
          <t>N</t>
        </is>
      </c>
      <c r="AJ143" s="4" t="n">
        <v>0</v>
      </c>
      <c r="AK143" s="5" t="n">
        <v>0</v>
      </c>
      <c r="AL143" s="41" t="inlineStr">
        <is>
          <t>No Match Found</t>
        </is>
      </c>
      <c r="AM143" s="41" t="inlineStr">
        <is>
          <t>NA</t>
        </is>
      </c>
      <c r="AN143" s="5" t="n">
        <v>0</v>
      </c>
      <c r="AO143" s="29" t="n">
        <v>0</v>
      </c>
      <c r="AP143" s="29" t="b">
        <v>1</v>
      </c>
      <c r="AQ143" s="4" t="n">
        <v>0</v>
      </c>
      <c r="AR143" s="47" t="inlineStr">
        <is>
          <t>No Match Found</t>
        </is>
      </c>
      <c r="AS143" s="47" t="inlineStr">
        <is>
          <t>NA</t>
        </is>
      </c>
      <c r="AT143" s="4" t="n">
        <v>0</v>
      </c>
      <c r="AU143" s="4" t="n">
        <v>0</v>
      </c>
      <c r="AV143" s="47" t="inlineStr">
        <is>
          <t>No Match Found</t>
        </is>
      </c>
      <c r="AW143" s="47" t="inlineStr">
        <is>
          <t>NA</t>
        </is>
      </c>
      <c r="AX143" s="4" t="n">
        <v>0</v>
      </c>
      <c r="AY143" s="47" t="inlineStr">
        <is>
          <t>No Match Found</t>
        </is>
      </c>
      <c r="AZ143" s="47" t="inlineStr">
        <is>
          <t>NA</t>
        </is>
      </c>
      <c r="BA143" s="4" t="n">
        <v>0</v>
      </c>
      <c r="BB143" s="4" t="n">
        <v>0</v>
      </c>
      <c r="BC143" s="4" t="n">
        <v>0</v>
      </c>
      <c r="BD143" s="4" t="n">
        <v>0</v>
      </c>
      <c r="BE143" s="47" t="inlineStr">
        <is>
          <t>No Match Found</t>
        </is>
      </c>
      <c r="BF143" s="47" t="inlineStr">
        <is>
          <t>NA</t>
        </is>
      </c>
      <c r="BG143" s="6" t="n">
        <v>0</v>
      </c>
      <c r="BH143" s="53" t="inlineStr">
        <is>
          <t>No Match Found</t>
        </is>
      </c>
      <c r="BI143" s="53" t="inlineStr">
        <is>
          <t>NA</t>
        </is>
      </c>
      <c r="BJ143" s="4" t="n">
        <v>0</v>
      </c>
      <c r="BK143" s="4" t="n">
        <v>0</v>
      </c>
    </row>
    <row r="144">
      <c r="A144" t="n">
        <v>38</v>
      </c>
      <c r="B144" s="1" t="n"/>
      <c r="C144" s="1" t="n"/>
      <c r="D144" s="1" t="inlineStr"/>
      <c r="E144" s="2" t="n">
        <v>21577</v>
      </c>
      <c r="F144" s="36" t="inlineStr">
        <is>
          <t>No Match Found</t>
        </is>
      </c>
      <c r="G144" s="36" t="inlineStr">
        <is>
          <t>NA</t>
        </is>
      </c>
      <c r="H144" s="24" t="n">
        <v>21577</v>
      </c>
      <c r="I144" s="24" t="b">
        <v>1</v>
      </c>
      <c r="J144" s="2" t="n">
        <v>42261</v>
      </c>
      <c r="K144" s="36" t="inlineStr">
        <is>
          <t>No Match Found</t>
        </is>
      </c>
      <c r="L144" s="36" t="inlineStr">
        <is>
          <t>NA</t>
        </is>
      </c>
      <c r="M144" s="24" t="n">
        <v>42261</v>
      </c>
      <c r="N144" s="24" t="b">
        <v>1</v>
      </c>
      <c r="O144" s="2" t="n">
        <v>42370</v>
      </c>
      <c r="P144" t="inlineStr">
        <is>
          <t>Processed</t>
        </is>
      </c>
      <c r="Q144" s="36" t="inlineStr">
        <is>
          <t>No Match Found</t>
        </is>
      </c>
      <c r="R144" s="36" t="inlineStr">
        <is>
          <t>NA</t>
        </is>
      </c>
      <c r="S144" s="24" t="n">
        <v>42370</v>
      </c>
      <c r="T144" s="24" t="b">
        <v>1</v>
      </c>
      <c r="U144" s="2" t="n">
        <v>42888</v>
      </c>
      <c r="V144" s="36" t="inlineStr">
        <is>
          <t>No Match Found</t>
        </is>
      </c>
      <c r="W144" s="36" t="inlineStr">
        <is>
          <t>NA</t>
        </is>
      </c>
      <c r="X144" s="24" t="n">
        <v>42888</v>
      </c>
      <c r="Y144" s="24" t="b">
        <v>1</v>
      </c>
      <c r="AA144" s="39" t="inlineStr">
        <is>
          <t>No Match Found</t>
        </is>
      </c>
      <c r="AB144" s="39" t="inlineStr">
        <is>
          <t>NA</t>
        </is>
      </c>
      <c r="AD144" s="27" t="b">
        <v>1</v>
      </c>
      <c r="AE144" s="1" t="inlineStr">
        <is>
          <t>X</t>
        </is>
      </c>
      <c r="AF144" s="1" t="inlineStr">
        <is>
          <t>N</t>
        </is>
      </c>
      <c r="AG144" s="3" t="n">
        <v>0</v>
      </c>
      <c r="AH144" s="1" t="inlineStr">
        <is>
          <t>N</t>
        </is>
      </c>
      <c r="AI144" s="1" t="inlineStr">
        <is>
          <t>N</t>
        </is>
      </c>
      <c r="AJ144" s="4" t="n">
        <v>1203.32</v>
      </c>
      <c r="AK144" s="5" t="n">
        <v>0</v>
      </c>
      <c r="AL144" s="41" t="inlineStr">
        <is>
          <t>No Match Found</t>
        </is>
      </c>
      <c r="AM144" s="41" t="inlineStr">
        <is>
          <t>NA</t>
        </is>
      </c>
      <c r="AN144" s="5" t="n">
        <v>1</v>
      </c>
      <c r="AO144" s="29" t="n">
        <v>1</v>
      </c>
      <c r="AP144" s="29" t="b">
        <v>1</v>
      </c>
      <c r="AQ144" s="4" t="n">
        <v>0</v>
      </c>
      <c r="AR144" s="47" t="inlineStr">
        <is>
          <t>No Match Found</t>
        </is>
      </c>
      <c r="AS144" s="47" t="inlineStr">
        <is>
          <t>NA</t>
        </is>
      </c>
      <c r="AT144" s="4" t="n">
        <v>0</v>
      </c>
      <c r="AU144" s="4" t="n">
        <v>0</v>
      </c>
      <c r="AV144" s="47" t="inlineStr">
        <is>
          <t>No Match Found</t>
        </is>
      </c>
      <c r="AW144" s="47" t="inlineStr">
        <is>
          <t>NA</t>
        </is>
      </c>
      <c r="AX144" s="4" t="n">
        <v>0</v>
      </c>
      <c r="AY144" s="47" t="inlineStr">
        <is>
          <t>No Match Found</t>
        </is>
      </c>
      <c r="AZ144" s="47" t="inlineStr">
        <is>
          <t>NA</t>
        </is>
      </c>
      <c r="BA144" s="4" t="n">
        <v>0</v>
      </c>
      <c r="BB144" s="4" t="n">
        <v>0</v>
      </c>
      <c r="BC144" s="4" t="n">
        <v>0</v>
      </c>
      <c r="BD144" s="4" t="n">
        <v>0</v>
      </c>
      <c r="BE144" s="47" t="inlineStr">
        <is>
          <t>No Match Found</t>
        </is>
      </c>
      <c r="BF144" s="47" t="inlineStr">
        <is>
          <t>NA</t>
        </is>
      </c>
      <c r="BG144" s="6" t="n">
        <v>0</v>
      </c>
      <c r="BH144" s="53" t="inlineStr">
        <is>
          <t>No Match Found</t>
        </is>
      </c>
      <c r="BI144" s="53" t="inlineStr">
        <is>
          <t>NA</t>
        </is>
      </c>
      <c r="BJ144" s="4" t="n">
        <v>0</v>
      </c>
      <c r="BK144" s="4" t="n">
        <v>0</v>
      </c>
    </row>
    <row r="145">
      <c r="A145" t="n">
        <v>39</v>
      </c>
      <c r="B145" s="1" t="n"/>
      <c r="C145" s="1" t="n"/>
      <c r="D145" s="1" t="inlineStr"/>
      <c r="E145" s="2" t="n">
        <v>34878</v>
      </c>
      <c r="F145" s="36" t="inlineStr">
        <is>
          <t>No Match Found</t>
        </is>
      </c>
      <c r="G145" s="36" t="inlineStr">
        <is>
          <t>NA</t>
        </is>
      </c>
      <c r="H145" s="24" t="n">
        <v>34878</v>
      </c>
      <c r="I145" s="24" t="b">
        <v>1</v>
      </c>
      <c r="J145" s="2" t="n">
        <v>42507</v>
      </c>
      <c r="K145" s="36" t="inlineStr">
        <is>
          <t>No Match Found</t>
        </is>
      </c>
      <c r="L145" s="36" t="inlineStr">
        <is>
          <t>NA</t>
        </is>
      </c>
      <c r="M145" s="24" t="n">
        <v>42507</v>
      </c>
      <c r="N145" s="24" t="b">
        <v>1</v>
      </c>
      <c r="O145" s="2" t="n">
        <v>42614</v>
      </c>
      <c r="P145" t="inlineStr">
        <is>
          <t>Processed</t>
        </is>
      </c>
      <c r="Q145" s="36" t="inlineStr">
        <is>
          <t>No Match Found</t>
        </is>
      </c>
      <c r="R145" s="36" t="inlineStr">
        <is>
          <t>NA</t>
        </is>
      </c>
      <c r="S145" s="24" t="n">
        <v>42614</v>
      </c>
      <c r="T145" s="24" t="b">
        <v>1</v>
      </c>
      <c r="U145" s="2" t="n">
        <v>42977</v>
      </c>
      <c r="V145" s="36" t="inlineStr">
        <is>
          <t>No Match Found</t>
        </is>
      </c>
      <c r="W145" s="36" t="inlineStr">
        <is>
          <t>NA</t>
        </is>
      </c>
      <c r="X145" s="24" t="n">
        <v>42977</v>
      </c>
      <c r="Y145" s="24" t="b">
        <v>1</v>
      </c>
      <c r="AA145" s="39" t="inlineStr">
        <is>
          <t>No Match Found</t>
        </is>
      </c>
      <c r="AB145" s="39" t="inlineStr">
        <is>
          <t>NA</t>
        </is>
      </c>
      <c r="AD145" s="27" t="b">
        <v>1</v>
      </c>
      <c r="AE145" s="1" t="inlineStr">
        <is>
          <t>X</t>
        </is>
      </c>
      <c r="AF145" s="1" t="inlineStr">
        <is>
          <t>N</t>
        </is>
      </c>
      <c r="AG145" s="3" t="n">
        <v>0</v>
      </c>
      <c r="AH145" s="1" t="inlineStr">
        <is>
          <t>N</t>
        </is>
      </c>
      <c r="AI145" s="1" t="inlineStr">
        <is>
          <t>N</t>
        </is>
      </c>
      <c r="AJ145" s="4" t="n">
        <v>0</v>
      </c>
      <c r="AK145" s="5" t="n">
        <v>0</v>
      </c>
      <c r="AL145" s="41" t="inlineStr">
        <is>
          <t>No Match Found</t>
        </is>
      </c>
      <c r="AM145" s="41" t="inlineStr">
        <is>
          <t>NA</t>
        </is>
      </c>
      <c r="AN145" s="5" t="n">
        <v>1</v>
      </c>
      <c r="AO145" s="29" t="n">
        <v>1</v>
      </c>
      <c r="AP145" s="29" t="b">
        <v>1</v>
      </c>
      <c r="AQ145" s="4" t="n">
        <v>0</v>
      </c>
      <c r="AR145" s="47" t="inlineStr">
        <is>
          <t>No Match Found</t>
        </is>
      </c>
      <c r="AS145" s="47" t="inlineStr">
        <is>
          <t>NA</t>
        </is>
      </c>
      <c r="AT145" s="4" t="n">
        <v>0</v>
      </c>
      <c r="AU145" s="4" t="n">
        <v>0</v>
      </c>
      <c r="AV145" s="47" t="inlineStr">
        <is>
          <t>No Match Found</t>
        </is>
      </c>
      <c r="AW145" s="47" t="inlineStr">
        <is>
          <t>NA</t>
        </is>
      </c>
      <c r="AX145" s="4" t="n">
        <v>0</v>
      </c>
      <c r="AY145" s="47" t="inlineStr">
        <is>
          <t>No Match Found</t>
        </is>
      </c>
      <c r="AZ145" s="47" t="inlineStr">
        <is>
          <t>NA</t>
        </is>
      </c>
      <c r="BA145" s="4" t="n">
        <v>0</v>
      </c>
      <c r="BB145" s="4" t="n">
        <v>0</v>
      </c>
      <c r="BC145" s="4" t="n">
        <v>0</v>
      </c>
      <c r="BD145" s="4" t="n">
        <v>0</v>
      </c>
      <c r="BE145" s="47" t="inlineStr">
        <is>
          <t>No Match Found</t>
        </is>
      </c>
      <c r="BF145" s="47" t="inlineStr">
        <is>
          <t>NA</t>
        </is>
      </c>
      <c r="BG145" s="6" t="n">
        <v>0</v>
      </c>
      <c r="BH145" s="53" t="inlineStr">
        <is>
          <t>No Match Found</t>
        </is>
      </c>
      <c r="BI145" s="53" t="inlineStr">
        <is>
          <t>NA</t>
        </is>
      </c>
      <c r="BJ145" s="4" t="n">
        <v>0</v>
      </c>
      <c r="BK145" s="4" t="n">
        <v>0</v>
      </c>
    </row>
    <row r="146">
      <c r="A146" t="n">
        <v>40</v>
      </c>
      <c r="B146" s="1" t="n"/>
      <c r="C146" s="1" t="n"/>
      <c r="D146" s="1" t="inlineStr"/>
      <c r="E146" s="2" t="n">
        <v>35881</v>
      </c>
      <c r="F146" s="36" t="inlineStr">
        <is>
          <t>No Match Found</t>
        </is>
      </c>
      <c r="G146" s="36" t="inlineStr">
        <is>
          <t>NA</t>
        </is>
      </c>
      <c r="H146" s="24" t="n">
        <v>35881</v>
      </c>
      <c r="I146" s="24" t="b">
        <v>1</v>
      </c>
      <c r="J146" s="2" t="n">
        <v>42703</v>
      </c>
      <c r="K146" s="36" t="inlineStr">
        <is>
          <t>No Match Found</t>
        </is>
      </c>
      <c r="L146" s="36" t="inlineStr">
        <is>
          <t>NA</t>
        </is>
      </c>
      <c r="M146" s="24" t="n">
        <v>42703</v>
      </c>
      <c r="N146" s="24" t="b">
        <v>1</v>
      </c>
      <c r="O146" s="2" t="n">
        <v>43738</v>
      </c>
      <c r="P146" t="inlineStr">
        <is>
          <t>Processed</t>
        </is>
      </c>
      <c r="Q146" s="36" t="inlineStr">
        <is>
          <t>No Match Found</t>
        </is>
      </c>
      <c r="R146" s="36" t="inlineStr">
        <is>
          <t>NA</t>
        </is>
      </c>
      <c r="S146" s="24" t="n">
        <v>43738</v>
      </c>
      <c r="T146" s="24" t="b">
        <v>1</v>
      </c>
      <c r="U146" s="2" t="n">
        <v>44392</v>
      </c>
      <c r="V146" s="36" t="inlineStr">
        <is>
          <t>No Match Found</t>
        </is>
      </c>
      <c r="W146" s="36" t="inlineStr">
        <is>
          <t>NA</t>
        </is>
      </c>
      <c r="X146" s="24" t="n">
        <v>44392</v>
      </c>
      <c r="Y146" s="24" t="b">
        <v>1</v>
      </c>
      <c r="AA146" s="39" t="inlineStr">
        <is>
          <t>No Match Found</t>
        </is>
      </c>
      <c r="AB146" s="39" t="inlineStr">
        <is>
          <t>NA</t>
        </is>
      </c>
      <c r="AC146" s="28" t="n">
        <v>43738</v>
      </c>
      <c r="AD146" s="27" t="b">
        <v>0</v>
      </c>
      <c r="AE146" s="1" t="inlineStr">
        <is>
          <t>X</t>
        </is>
      </c>
      <c r="AF146" s="1" t="inlineStr">
        <is>
          <t>N</t>
        </is>
      </c>
      <c r="AG146" s="3" t="n">
        <v>0</v>
      </c>
      <c r="AH146" s="1" t="inlineStr">
        <is>
          <t>N</t>
        </is>
      </c>
      <c r="AI146" s="1" t="inlineStr">
        <is>
          <t>N</t>
        </is>
      </c>
      <c r="AJ146" s="4" t="n">
        <v>4511.67</v>
      </c>
      <c r="AK146" s="5" t="n">
        <v>0</v>
      </c>
      <c r="AL146" s="41" t="inlineStr">
        <is>
          <t>No Match Found</t>
        </is>
      </c>
      <c r="AM146" s="41" t="inlineStr">
        <is>
          <t>NA</t>
        </is>
      </c>
      <c r="AN146" s="5" t="n">
        <v>3</v>
      </c>
      <c r="AO146" s="29" t="n">
        <v>3</v>
      </c>
      <c r="AP146" s="29" t="b">
        <v>1</v>
      </c>
      <c r="AQ146" s="4" t="n">
        <v>0</v>
      </c>
      <c r="AR146" s="47" t="inlineStr">
        <is>
          <t>No Match Found</t>
        </is>
      </c>
      <c r="AS146" s="47" t="inlineStr">
        <is>
          <t>NA</t>
        </is>
      </c>
      <c r="AT146" s="4" t="n">
        <v>0</v>
      </c>
      <c r="AU146" s="4" t="n">
        <v>0</v>
      </c>
      <c r="AV146" s="47" t="inlineStr">
        <is>
          <t>No Match Found</t>
        </is>
      </c>
      <c r="AW146" s="47" t="inlineStr">
        <is>
          <t>NA</t>
        </is>
      </c>
      <c r="AX146" s="4" t="n">
        <v>0</v>
      </c>
      <c r="AY146" s="47" t="inlineStr">
        <is>
          <t>No Match Found</t>
        </is>
      </c>
      <c r="AZ146" s="47" t="inlineStr">
        <is>
          <t>NA</t>
        </is>
      </c>
      <c r="BA146" s="4" t="n">
        <v>0</v>
      </c>
      <c r="BB146" s="4" t="n">
        <v>0</v>
      </c>
      <c r="BC146" s="4" t="n">
        <v>0</v>
      </c>
      <c r="BD146" s="4" t="n">
        <v>0</v>
      </c>
      <c r="BE146" s="47" t="inlineStr">
        <is>
          <t>No Match Found</t>
        </is>
      </c>
      <c r="BF146" s="47" t="inlineStr">
        <is>
          <t>NA</t>
        </is>
      </c>
      <c r="BG146" s="6" t="n">
        <v>0</v>
      </c>
      <c r="BH146" s="53" t="inlineStr">
        <is>
          <t>No Match Found</t>
        </is>
      </c>
      <c r="BI146" s="53" t="inlineStr">
        <is>
          <t>NA</t>
        </is>
      </c>
      <c r="BJ146" s="4" t="n">
        <v>0</v>
      </c>
      <c r="BK146" s="4" t="n">
        <v>0</v>
      </c>
    </row>
    <row r="147">
      <c r="A147" t="n">
        <v>41</v>
      </c>
      <c r="B147" s="1" t="n"/>
      <c r="C147" s="1" t="n"/>
      <c r="D147" s="1" t="inlineStr"/>
      <c r="E147" s="2" t="n">
        <v>25172</v>
      </c>
      <c r="F147" s="36" t="inlineStr">
        <is>
          <t>No Match Found</t>
        </is>
      </c>
      <c r="G147" s="36" t="inlineStr">
        <is>
          <t>NA</t>
        </is>
      </c>
      <c r="H147" s="24" t="n">
        <v>25172</v>
      </c>
      <c r="I147" s="24" t="b">
        <v>1</v>
      </c>
      <c r="J147" s="2" t="n">
        <v>42744</v>
      </c>
      <c r="K147" s="36" t="inlineStr">
        <is>
          <t>No Match Found</t>
        </is>
      </c>
      <c r="L147" s="36" t="inlineStr">
        <is>
          <t>NA</t>
        </is>
      </c>
      <c r="M147" s="24" t="n">
        <v>42744</v>
      </c>
      <c r="N147" s="24" t="b">
        <v>1</v>
      </c>
      <c r="O147" s="2" t="n">
        <v>42856</v>
      </c>
      <c r="P147" t="inlineStr">
        <is>
          <t>Processed</t>
        </is>
      </c>
      <c r="Q147" s="36" t="inlineStr">
        <is>
          <t>No Match Found</t>
        </is>
      </c>
      <c r="R147" s="36" t="inlineStr">
        <is>
          <t>NA</t>
        </is>
      </c>
      <c r="S147" s="24" t="n">
        <v>42856</v>
      </c>
      <c r="T147" s="24" t="b">
        <v>1</v>
      </c>
      <c r="U147" s="2" t="n">
        <v>43203</v>
      </c>
      <c r="V147" s="36" t="inlineStr">
        <is>
          <t>No Match Found</t>
        </is>
      </c>
      <c r="W147" s="36" t="inlineStr">
        <is>
          <t>NA</t>
        </is>
      </c>
      <c r="X147" s="24" t="n">
        <v>43203</v>
      </c>
      <c r="Y147" s="24" t="b">
        <v>1</v>
      </c>
      <c r="AA147" s="39" t="inlineStr">
        <is>
          <t>No Match Found</t>
        </is>
      </c>
      <c r="AB147" s="39" t="inlineStr">
        <is>
          <t>NA</t>
        </is>
      </c>
      <c r="AD147" s="27" t="b">
        <v>1</v>
      </c>
      <c r="AE147" s="1" t="inlineStr">
        <is>
          <t>X</t>
        </is>
      </c>
      <c r="AF147" s="1" t="inlineStr">
        <is>
          <t>N</t>
        </is>
      </c>
      <c r="AG147" s="3" t="n">
        <v>0</v>
      </c>
      <c r="AH147" s="1" t="inlineStr">
        <is>
          <t>N</t>
        </is>
      </c>
      <c r="AI147" s="1" t="inlineStr">
        <is>
          <t>N</t>
        </is>
      </c>
      <c r="AJ147" s="4" t="n">
        <v>0</v>
      </c>
      <c r="AK147" s="5" t="n">
        <v>0</v>
      </c>
      <c r="AL147" s="41" t="inlineStr">
        <is>
          <t>No Match Found</t>
        </is>
      </c>
      <c r="AM147" s="41" t="inlineStr">
        <is>
          <t>NA</t>
        </is>
      </c>
      <c r="AN147" s="5" t="n">
        <v>1</v>
      </c>
      <c r="AO147" s="29" t="n">
        <v>1</v>
      </c>
      <c r="AP147" s="29" t="b">
        <v>1</v>
      </c>
      <c r="AQ147" s="4" t="n">
        <v>0</v>
      </c>
      <c r="AR147" s="47" t="inlineStr">
        <is>
          <t>No Match Found</t>
        </is>
      </c>
      <c r="AS147" s="47" t="inlineStr">
        <is>
          <t>NA</t>
        </is>
      </c>
      <c r="AT147" s="4" t="n">
        <v>0</v>
      </c>
      <c r="AU147" s="4" t="n">
        <v>0</v>
      </c>
      <c r="AV147" s="47" t="inlineStr">
        <is>
          <t>No Match Found</t>
        </is>
      </c>
      <c r="AW147" s="47" t="inlineStr">
        <is>
          <t>NA</t>
        </is>
      </c>
      <c r="AX147" s="4" t="n">
        <v>0</v>
      </c>
      <c r="AY147" s="47" t="inlineStr">
        <is>
          <t>No Match Found</t>
        </is>
      </c>
      <c r="AZ147" s="47" t="inlineStr">
        <is>
          <t>NA</t>
        </is>
      </c>
      <c r="BA147" s="4" t="n">
        <v>0</v>
      </c>
      <c r="BB147" s="4" t="n">
        <v>0</v>
      </c>
      <c r="BC147" s="4" t="n">
        <v>0</v>
      </c>
      <c r="BD147" s="4" t="n">
        <v>0</v>
      </c>
      <c r="BE147" s="47" t="inlineStr">
        <is>
          <t>No Match Found</t>
        </is>
      </c>
      <c r="BF147" s="47" t="inlineStr">
        <is>
          <t>NA</t>
        </is>
      </c>
      <c r="BG147" s="6" t="n">
        <v>0</v>
      </c>
      <c r="BH147" s="53" t="inlineStr">
        <is>
          <t>No Match Found</t>
        </is>
      </c>
      <c r="BI147" s="53" t="inlineStr">
        <is>
          <t>NA</t>
        </is>
      </c>
      <c r="BJ147" s="4" t="n">
        <v>0</v>
      </c>
      <c r="BK147" s="4" t="n">
        <v>0</v>
      </c>
    </row>
    <row r="148">
      <c r="A148" t="n">
        <v>42</v>
      </c>
      <c r="B148" s="1" t="n"/>
      <c r="C148" s="1" t="n"/>
      <c r="D148" s="1" t="inlineStr"/>
      <c r="E148" s="2" t="n">
        <v>25413</v>
      </c>
      <c r="F148" s="36" t="inlineStr">
        <is>
          <t>No Match Found</t>
        </is>
      </c>
      <c r="G148" s="36" t="inlineStr">
        <is>
          <t>NA</t>
        </is>
      </c>
      <c r="H148" s="24" t="n">
        <v>25413</v>
      </c>
      <c r="I148" s="24" t="b">
        <v>1</v>
      </c>
      <c r="J148" s="2" t="n">
        <v>42751</v>
      </c>
      <c r="K148" s="36" t="inlineStr">
        <is>
          <t>No Match Found</t>
        </is>
      </c>
      <c r="L148" s="36" t="inlineStr">
        <is>
          <t>NA</t>
        </is>
      </c>
      <c r="M148" s="24" t="n">
        <v>42751</v>
      </c>
      <c r="N148" s="24" t="b">
        <v>1</v>
      </c>
      <c r="O148" s="2" t="n">
        <v>42751</v>
      </c>
      <c r="P148" t="inlineStr">
        <is>
          <t>Processed</t>
        </is>
      </c>
      <c r="Q148" s="36" t="inlineStr">
        <is>
          <t>No Match Found</t>
        </is>
      </c>
      <c r="R148" s="36" t="inlineStr">
        <is>
          <t>NA</t>
        </is>
      </c>
      <c r="S148" s="24" t="n">
        <v>42751</v>
      </c>
      <c r="T148" s="24" t="b">
        <v>1</v>
      </c>
      <c r="U148" s="2" t="n">
        <v>43644</v>
      </c>
      <c r="V148" s="36" t="inlineStr">
        <is>
          <t>No Match Found</t>
        </is>
      </c>
      <c r="W148" s="36" t="inlineStr">
        <is>
          <t>NA</t>
        </is>
      </c>
      <c r="X148" s="24" t="n">
        <v>43644</v>
      </c>
      <c r="Y148" s="24" t="b">
        <v>1</v>
      </c>
      <c r="AA148" s="39" t="inlineStr">
        <is>
          <t>No Match Found</t>
        </is>
      </c>
      <c r="AB148" s="39" t="inlineStr">
        <is>
          <t>NA</t>
        </is>
      </c>
      <c r="AD148" s="27" t="b">
        <v>1</v>
      </c>
      <c r="AE148" s="1" t="inlineStr">
        <is>
          <t>X</t>
        </is>
      </c>
      <c r="AF148" s="1" t="inlineStr">
        <is>
          <t>N</t>
        </is>
      </c>
      <c r="AG148" s="3" t="n">
        <v>0</v>
      </c>
      <c r="AH148" s="1" t="inlineStr">
        <is>
          <t>N</t>
        </is>
      </c>
      <c r="AI148" s="1" t="inlineStr">
        <is>
          <t>N</t>
        </is>
      </c>
      <c r="AJ148" s="4" t="n">
        <v>0</v>
      </c>
      <c r="AK148" s="5" t="n">
        <v>0</v>
      </c>
      <c r="AL148" s="41" t="inlineStr">
        <is>
          <t>No Match Found</t>
        </is>
      </c>
      <c r="AM148" s="41" t="inlineStr">
        <is>
          <t>NA</t>
        </is>
      </c>
      <c r="AN148" s="5" t="n">
        <v>8</v>
      </c>
      <c r="AO148" s="29" t="n">
        <v>8</v>
      </c>
      <c r="AP148" s="29" t="b">
        <v>1</v>
      </c>
      <c r="AQ148" s="4" t="n">
        <v>0</v>
      </c>
      <c r="AR148" s="47" t="inlineStr">
        <is>
          <t>No Match Found</t>
        </is>
      </c>
      <c r="AS148" s="47" t="inlineStr">
        <is>
          <t>NA</t>
        </is>
      </c>
      <c r="AT148" s="4" t="n">
        <v>0</v>
      </c>
      <c r="AU148" s="4" t="n">
        <v>0</v>
      </c>
      <c r="AV148" s="47" t="inlineStr">
        <is>
          <t>No Match Found</t>
        </is>
      </c>
      <c r="AW148" s="47" t="inlineStr">
        <is>
          <t>NA</t>
        </is>
      </c>
      <c r="AX148" s="4" t="n">
        <v>0</v>
      </c>
      <c r="AY148" s="47" t="inlineStr">
        <is>
          <t>No Match Found</t>
        </is>
      </c>
      <c r="AZ148" s="47" t="inlineStr">
        <is>
          <t>NA</t>
        </is>
      </c>
      <c r="BA148" s="4" t="n">
        <v>0</v>
      </c>
      <c r="BB148" s="4" t="n">
        <v>0</v>
      </c>
      <c r="BC148" s="4" t="n">
        <v>0</v>
      </c>
      <c r="BD148" s="4" t="n">
        <v>0</v>
      </c>
      <c r="BE148" s="47" t="inlineStr">
        <is>
          <t>No Match Found</t>
        </is>
      </c>
      <c r="BF148" s="47" t="inlineStr">
        <is>
          <t>NA</t>
        </is>
      </c>
      <c r="BG148" s="6" t="n">
        <v>0</v>
      </c>
      <c r="BH148" s="53" t="inlineStr">
        <is>
          <t>No Match Found</t>
        </is>
      </c>
      <c r="BI148" s="53" t="inlineStr">
        <is>
          <t>NA</t>
        </is>
      </c>
      <c r="BJ148" s="4" t="n">
        <v>0</v>
      </c>
      <c r="BK148" s="4" t="n">
        <v>0</v>
      </c>
    </row>
    <row r="149">
      <c r="A149" t="n">
        <v>43</v>
      </c>
      <c r="B149" s="1" t="n"/>
      <c r="C149" s="1" t="n"/>
      <c r="D149" s="1" t="inlineStr"/>
      <c r="E149" s="2" t="n">
        <v>35670</v>
      </c>
      <c r="F149" s="36" t="inlineStr">
        <is>
          <t>No Match Found</t>
        </is>
      </c>
      <c r="G149" s="36" t="inlineStr">
        <is>
          <t>NA</t>
        </is>
      </c>
      <c r="H149" s="24" t="n">
        <v>35670</v>
      </c>
      <c r="I149" s="24" t="b">
        <v>1</v>
      </c>
      <c r="J149" s="2" t="n">
        <v>42851</v>
      </c>
      <c r="K149" s="36" t="inlineStr">
        <is>
          <t>No Match Found</t>
        </is>
      </c>
      <c r="L149" s="36" t="inlineStr">
        <is>
          <t>NA</t>
        </is>
      </c>
      <c r="M149" s="24" t="n">
        <v>42851</v>
      </c>
      <c r="N149" s="24" t="b">
        <v>1</v>
      </c>
      <c r="O149" s="2" t="n">
        <v>42948</v>
      </c>
      <c r="P149" t="inlineStr">
        <is>
          <t>Processed</t>
        </is>
      </c>
      <c r="Q149" s="36" t="inlineStr">
        <is>
          <t>No Match Found</t>
        </is>
      </c>
      <c r="R149" s="36" t="inlineStr">
        <is>
          <t>NA</t>
        </is>
      </c>
      <c r="S149" s="24" t="n">
        <v>42948</v>
      </c>
      <c r="T149" s="24" t="b">
        <v>1</v>
      </c>
      <c r="U149" s="2" t="n">
        <v>44718</v>
      </c>
      <c r="V149" s="36" t="inlineStr">
        <is>
          <t>No Match Found</t>
        </is>
      </c>
      <c r="W149" s="36" t="inlineStr">
        <is>
          <t>NA</t>
        </is>
      </c>
      <c r="X149" s="24" t="n">
        <v>44718</v>
      </c>
      <c r="Y149" s="24" t="b">
        <v>1</v>
      </c>
      <c r="AA149" s="39" t="inlineStr">
        <is>
          <t>No Match Found</t>
        </is>
      </c>
      <c r="AB149" s="39" t="inlineStr">
        <is>
          <t>NA</t>
        </is>
      </c>
      <c r="AD149" s="27" t="b">
        <v>1</v>
      </c>
      <c r="AE149" s="1" t="inlineStr">
        <is>
          <t>X</t>
        </is>
      </c>
      <c r="AF149" s="1" t="inlineStr">
        <is>
          <t>N</t>
        </is>
      </c>
      <c r="AG149" s="3" t="n">
        <v>0</v>
      </c>
      <c r="AH149" s="1" t="inlineStr">
        <is>
          <t>N</t>
        </is>
      </c>
      <c r="AI149" s="1" t="inlineStr">
        <is>
          <t>N</t>
        </is>
      </c>
      <c r="AJ149" s="4" t="n">
        <v>0</v>
      </c>
      <c r="AK149" s="5" t="n">
        <v>0</v>
      </c>
      <c r="AL149" s="41" t="inlineStr">
        <is>
          <t>No Match Found</t>
        </is>
      </c>
      <c r="AM149" s="41" t="inlineStr">
        <is>
          <t>NA</t>
        </is>
      </c>
      <c r="AN149" s="5" t="n">
        <v>4</v>
      </c>
      <c r="AO149" s="29" t="n">
        <v>4</v>
      </c>
      <c r="AP149" s="29" t="b">
        <v>1</v>
      </c>
      <c r="AQ149" s="4" t="n">
        <v>0</v>
      </c>
      <c r="AR149" s="47" t="inlineStr">
        <is>
          <t>No Match Found</t>
        </is>
      </c>
      <c r="AS149" s="47" t="inlineStr">
        <is>
          <t>NA</t>
        </is>
      </c>
      <c r="AT149" s="4" t="n">
        <v>0</v>
      </c>
      <c r="AU149" s="4" t="n">
        <v>0</v>
      </c>
      <c r="AV149" s="47" t="inlineStr">
        <is>
          <t>No Match Found</t>
        </is>
      </c>
      <c r="AW149" s="47" t="inlineStr">
        <is>
          <t>NA</t>
        </is>
      </c>
      <c r="AX149" s="4" t="n">
        <v>0</v>
      </c>
      <c r="AY149" s="47" t="inlineStr">
        <is>
          <t>No Match Found</t>
        </is>
      </c>
      <c r="AZ149" s="47" t="inlineStr">
        <is>
          <t>NA</t>
        </is>
      </c>
      <c r="BA149" s="4" t="n">
        <v>0</v>
      </c>
      <c r="BB149" s="4" t="n">
        <v>0</v>
      </c>
      <c r="BC149" s="4" t="n">
        <v>0</v>
      </c>
      <c r="BD149" s="4" t="n">
        <v>0</v>
      </c>
      <c r="BE149" s="47" t="inlineStr">
        <is>
          <t>No Match Found</t>
        </is>
      </c>
      <c r="BF149" s="47" t="inlineStr">
        <is>
          <t>NA</t>
        </is>
      </c>
      <c r="BG149" s="6" t="n">
        <v>0</v>
      </c>
      <c r="BH149" s="53" t="inlineStr">
        <is>
          <t>No Match Found</t>
        </is>
      </c>
      <c r="BI149" s="53" t="inlineStr">
        <is>
          <t>NA</t>
        </is>
      </c>
      <c r="BJ149" s="4" t="n">
        <v>0</v>
      </c>
      <c r="BK149" s="4" t="n">
        <v>0</v>
      </c>
    </row>
    <row r="150">
      <c r="A150" t="n">
        <v>44</v>
      </c>
      <c r="B150" s="1" t="n"/>
      <c r="C150" s="1" t="n"/>
      <c r="D150" s="1" t="inlineStr"/>
      <c r="E150" s="2" t="n">
        <v>35881</v>
      </c>
      <c r="F150" s="36" t="inlineStr">
        <is>
          <t>No Match Found</t>
        </is>
      </c>
      <c r="G150" s="36" t="inlineStr">
        <is>
          <t>NA</t>
        </is>
      </c>
      <c r="H150" s="24" t="n">
        <v>35881</v>
      </c>
      <c r="I150" s="24" t="b">
        <v>1</v>
      </c>
      <c r="J150" s="2" t="n">
        <v>42870</v>
      </c>
      <c r="K150" s="36" t="inlineStr">
        <is>
          <t>No Match Found</t>
        </is>
      </c>
      <c r="L150" s="36" t="inlineStr">
        <is>
          <t>NA</t>
        </is>
      </c>
      <c r="M150" s="24" t="n">
        <v>42870</v>
      </c>
      <c r="N150" s="24" t="b">
        <v>1</v>
      </c>
      <c r="O150" s="2" t="n">
        <v>42979</v>
      </c>
      <c r="P150" t="inlineStr">
        <is>
          <t>Processed</t>
        </is>
      </c>
      <c r="Q150" s="36" t="inlineStr">
        <is>
          <t>No Match Found</t>
        </is>
      </c>
      <c r="R150" s="36" t="inlineStr">
        <is>
          <t>NA</t>
        </is>
      </c>
      <c r="S150" s="24" t="n">
        <v>42979</v>
      </c>
      <c r="T150" s="24" t="b">
        <v>1</v>
      </c>
      <c r="U150" s="2" t="n">
        <v>45159</v>
      </c>
      <c r="V150" s="36" t="inlineStr">
        <is>
          <t>No Match Found</t>
        </is>
      </c>
      <c r="W150" s="36" t="inlineStr">
        <is>
          <t>NA</t>
        </is>
      </c>
      <c r="X150" s="24" t="n">
        <v>45159</v>
      </c>
      <c r="Y150" s="24" t="b">
        <v>1</v>
      </c>
      <c r="AA150" s="39" t="inlineStr">
        <is>
          <t>No Match Found</t>
        </is>
      </c>
      <c r="AB150" s="39" t="inlineStr">
        <is>
          <t>NA</t>
        </is>
      </c>
      <c r="AD150" s="27" t="b">
        <v>1</v>
      </c>
      <c r="AE150" s="1" t="inlineStr">
        <is>
          <t>X</t>
        </is>
      </c>
      <c r="AF150" s="1" t="inlineStr">
        <is>
          <t>N</t>
        </is>
      </c>
      <c r="AG150" s="3" t="n">
        <v>0</v>
      </c>
      <c r="AH150" s="1" t="inlineStr">
        <is>
          <t>N</t>
        </is>
      </c>
      <c r="AI150" s="1" t="inlineStr">
        <is>
          <t>N</t>
        </is>
      </c>
      <c r="AJ150" s="4" t="n">
        <v>30625.33</v>
      </c>
      <c r="AK150" s="5" t="n">
        <v>0</v>
      </c>
      <c r="AL150" s="41" t="inlineStr">
        <is>
          <t>No Match Found</t>
        </is>
      </c>
      <c r="AM150" s="41" t="inlineStr">
        <is>
          <t>NA</t>
        </is>
      </c>
      <c r="AN150" s="5" t="n">
        <v>5</v>
      </c>
      <c r="AO150" s="29" t="n">
        <v>5</v>
      </c>
      <c r="AP150" s="29" t="b">
        <v>1</v>
      </c>
      <c r="AQ150" s="4" t="n">
        <v>0</v>
      </c>
      <c r="AR150" s="47" t="inlineStr">
        <is>
          <t>No Match Found</t>
        </is>
      </c>
      <c r="AS150" s="47" t="inlineStr">
        <is>
          <t>NA</t>
        </is>
      </c>
      <c r="AT150" s="4" t="n">
        <v>0</v>
      </c>
      <c r="AU150" s="4" t="n">
        <v>0</v>
      </c>
      <c r="AV150" s="47" t="inlineStr">
        <is>
          <t>No Match Found</t>
        </is>
      </c>
      <c r="AW150" s="47" t="inlineStr">
        <is>
          <t>NA</t>
        </is>
      </c>
      <c r="AX150" s="4" t="n">
        <v>0</v>
      </c>
      <c r="AY150" s="47" t="inlineStr">
        <is>
          <t>No Match Found</t>
        </is>
      </c>
      <c r="AZ150" s="47" t="inlineStr">
        <is>
          <t>NA</t>
        </is>
      </c>
      <c r="BA150" s="4" t="n">
        <v>0</v>
      </c>
      <c r="BB150" s="4" t="n">
        <v>0</v>
      </c>
      <c r="BC150" s="4" t="n">
        <v>0</v>
      </c>
      <c r="BD150" s="4" t="n">
        <v>0</v>
      </c>
      <c r="BE150" s="47" t="inlineStr">
        <is>
          <t>No Match Found</t>
        </is>
      </c>
      <c r="BF150" s="47" t="inlineStr">
        <is>
          <t>NA</t>
        </is>
      </c>
      <c r="BG150" s="6" t="n">
        <v>0</v>
      </c>
      <c r="BH150" s="53" t="inlineStr">
        <is>
          <t>No Match Found</t>
        </is>
      </c>
      <c r="BI150" s="53" t="inlineStr">
        <is>
          <t>NA</t>
        </is>
      </c>
      <c r="BJ150" s="4" t="n">
        <v>0</v>
      </c>
      <c r="BK150" s="4" t="n">
        <v>0</v>
      </c>
    </row>
    <row r="151">
      <c r="A151" t="n">
        <v>45</v>
      </c>
      <c r="B151" s="1" t="n"/>
      <c r="C151" s="1" t="n"/>
      <c r="D151" s="1" t="inlineStr"/>
      <c r="E151" s="2" t="n">
        <v>32469</v>
      </c>
      <c r="F151" s="36" t="inlineStr">
        <is>
          <t>No Match Found</t>
        </is>
      </c>
      <c r="G151" s="36" t="inlineStr">
        <is>
          <t>NA</t>
        </is>
      </c>
      <c r="H151" s="24" t="n">
        <v>32469</v>
      </c>
      <c r="I151" s="24" t="b">
        <v>1</v>
      </c>
      <c r="J151" s="2" t="n">
        <v>42877</v>
      </c>
      <c r="K151" s="36" t="inlineStr">
        <is>
          <t>No Match Found</t>
        </is>
      </c>
      <c r="L151" s="36" t="inlineStr">
        <is>
          <t>NA</t>
        </is>
      </c>
      <c r="M151" s="24" t="n">
        <v>42877</v>
      </c>
      <c r="N151" s="24" t="b">
        <v>1</v>
      </c>
      <c r="O151" s="2" t="n">
        <v>42887</v>
      </c>
      <c r="P151" t="inlineStr">
        <is>
          <t>Processed</t>
        </is>
      </c>
      <c r="Q151" s="36" t="inlineStr">
        <is>
          <t>No Match Found</t>
        </is>
      </c>
      <c r="R151" s="36" t="inlineStr">
        <is>
          <t>NA</t>
        </is>
      </c>
      <c r="S151" s="24" t="n">
        <v>42887</v>
      </c>
      <c r="T151" s="24" t="b">
        <v>1</v>
      </c>
      <c r="U151" s="2" t="n">
        <v>43757</v>
      </c>
      <c r="V151" s="36" t="inlineStr">
        <is>
          <t>No Match Found</t>
        </is>
      </c>
      <c r="W151" s="36" t="inlineStr">
        <is>
          <t>NA</t>
        </is>
      </c>
      <c r="X151" s="24" t="n">
        <v>43757</v>
      </c>
      <c r="Y151" s="24" t="b">
        <v>1</v>
      </c>
      <c r="AA151" s="39" t="inlineStr">
        <is>
          <t>No Match Found</t>
        </is>
      </c>
      <c r="AB151" s="39" t="inlineStr">
        <is>
          <t>NA</t>
        </is>
      </c>
      <c r="AD151" s="27" t="b">
        <v>1</v>
      </c>
      <c r="AE151" s="1" t="inlineStr">
        <is>
          <t>X</t>
        </is>
      </c>
      <c r="AF151" s="1" t="inlineStr">
        <is>
          <t>N</t>
        </is>
      </c>
      <c r="AG151" s="3" t="n">
        <v>0</v>
      </c>
      <c r="AH151" s="1" t="inlineStr">
        <is>
          <t>N</t>
        </is>
      </c>
      <c r="AI151" s="1" t="inlineStr">
        <is>
          <t>N</t>
        </is>
      </c>
      <c r="AJ151" s="4" t="n">
        <v>0</v>
      </c>
      <c r="AK151" s="5" t="n">
        <v>0</v>
      </c>
      <c r="AL151" s="41" t="inlineStr">
        <is>
          <t>No Match Found</t>
        </is>
      </c>
      <c r="AM151" s="41" t="inlineStr">
        <is>
          <t>NA</t>
        </is>
      </c>
      <c r="AN151" s="5" t="n">
        <v>1</v>
      </c>
      <c r="AO151" s="29" t="n">
        <v>1</v>
      </c>
      <c r="AP151" s="29" t="b">
        <v>1</v>
      </c>
      <c r="AQ151" s="4" t="n">
        <v>0</v>
      </c>
      <c r="AR151" s="47" t="inlineStr">
        <is>
          <t>No Match Found</t>
        </is>
      </c>
      <c r="AS151" s="47" t="inlineStr">
        <is>
          <t>NA</t>
        </is>
      </c>
      <c r="AT151" s="4" t="n">
        <v>0</v>
      </c>
      <c r="AU151" s="4" t="n">
        <v>0</v>
      </c>
      <c r="AV151" s="47" t="inlineStr">
        <is>
          <t>No Match Found</t>
        </is>
      </c>
      <c r="AW151" s="47" t="inlineStr">
        <is>
          <t>NA</t>
        </is>
      </c>
      <c r="AX151" s="4" t="n">
        <v>0</v>
      </c>
      <c r="AY151" s="47" t="inlineStr">
        <is>
          <t>No Match Found</t>
        </is>
      </c>
      <c r="AZ151" s="47" t="inlineStr">
        <is>
          <t>NA</t>
        </is>
      </c>
      <c r="BA151" s="4" t="n">
        <v>0</v>
      </c>
      <c r="BB151" s="4" t="n">
        <v>0</v>
      </c>
      <c r="BC151" s="4" t="n">
        <v>0</v>
      </c>
      <c r="BD151" s="4" t="n">
        <v>0</v>
      </c>
      <c r="BE151" s="47" t="inlineStr">
        <is>
          <t>No Match Found</t>
        </is>
      </c>
      <c r="BF151" s="47" t="inlineStr">
        <is>
          <t>NA</t>
        </is>
      </c>
      <c r="BG151" s="6" t="n">
        <v>0</v>
      </c>
      <c r="BH151" s="53" t="inlineStr">
        <is>
          <t>No Match Found</t>
        </is>
      </c>
      <c r="BI151" s="53" t="inlineStr">
        <is>
          <t>NA</t>
        </is>
      </c>
      <c r="BJ151" s="4" t="n">
        <v>0</v>
      </c>
      <c r="BK151" s="4" t="n">
        <v>0</v>
      </c>
    </row>
    <row r="152">
      <c r="A152" t="n">
        <v>46</v>
      </c>
      <c r="B152" s="1" t="n"/>
      <c r="C152" s="1" t="n"/>
      <c r="D152" s="1" t="inlineStr"/>
      <c r="E152" s="2" t="n">
        <v>31500</v>
      </c>
      <c r="F152" s="36" t="inlineStr">
        <is>
          <t>No Match Found</t>
        </is>
      </c>
      <c r="G152" s="36" t="inlineStr">
        <is>
          <t>NA</t>
        </is>
      </c>
      <c r="H152" s="24" t="n">
        <v>31500</v>
      </c>
      <c r="I152" s="24" t="b">
        <v>1</v>
      </c>
      <c r="J152" s="2" t="n">
        <v>42886</v>
      </c>
      <c r="K152" s="36" t="inlineStr">
        <is>
          <t>No Match Found</t>
        </is>
      </c>
      <c r="L152" s="36" t="inlineStr">
        <is>
          <t>NA</t>
        </is>
      </c>
      <c r="M152" s="24" t="n">
        <v>42886</v>
      </c>
      <c r="N152" s="24" t="b">
        <v>1</v>
      </c>
      <c r="O152" s="2" t="n">
        <v>42979</v>
      </c>
      <c r="P152" t="inlineStr">
        <is>
          <t>Processed</t>
        </is>
      </c>
      <c r="Q152" s="36" t="inlineStr">
        <is>
          <t>No Match Found</t>
        </is>
      </c>
      <c r="R152" s="36" t="inlineStr">
        <is>
          <t>NA</t>
        </is>
      </c>
      <c r="S152" s="24" t="n">
        <v>42979</v>
      </c>
      <c r="T152" s="24" t="b">
        <v>1</v>
      </c>
      <c r="U152" s="2" t="n">
        <v>43203</v>
      </c>
      <c r="V152" s="36" t="inlineStr">
        <is>
          <t>No Match Found</t>
        </is>
      </c>
      <c r="W152" s="36" t="inlineStr">
        <is>
          <t>NA</t>
        </is>
      </c>
      <c r="X152" s="24" t="n">
        <v>43203</v>
      </c>
      <c r="Y152" s="24" t="b">
        <v>1</v>
      </c>
      <c r="AA152" s="39" t="inlineStr">
        <is>
          <t>No Match Found</t>
        </is>
      </c>
      <c r="AB152" s="39" t="inlineStr">
        <is>
          <t>NA</t>
        </is>
      </c>
      <c r="AD152" s="27" t="b">
        <v>1</v>
      </c>
      <c r="AE152" s="1" t="inlineStr">
        <is>
          <t>X</t>
        </is>
      </c>
      <c r="AF152" s="1" t="inlineStr">
        <is>
          <t>N</t>
        </is>
      </c>
      <c r="AG152" s="3" t="n">
        <v>0</v>
      </c>
      <c r="AH152" s="1" t="inlineStr">
        <is>
          <t>N</t>
        </is>
      </c>
      <c r="AI152" s="1" t="inlineStr">
        <is>
          <t>N</t>
        </is>
      </c>
      <c r="AJ152" s="4" t="n">
        <v>0</v>
      </c>
      <c r="AK152" s="5" t="n">
        <v>0</v>
      </c>
      <c r="AL152" s="41" t="inlineStr">
        <is>
          <t>No Match Found</t>
        </is>
      </c>
      <c r="AM152" s="41" t="inlineStr">
        <is>
          <t>NA</t>
        </is>
      </c>
      <c r="AN152" s="5" t="n">
        <v>1</v>
      </c>
      <c r="AO152" s="29" t="n">
        <v>1</v>
      </c>
      <c r="AP152" s="29" t="b">
        <v>1</v>
      </c>
      <c r="AQ152" s="4" t="n">
        <v>0</v>
      </c>
      <c r="AR152" s="47" t="inlineStr">
        <is>
          <t>No Match Found</t>
        </is>
      </c>
      <c r="AS152" s="47" t="inlineStr">
        <is>
          <t>NA</t>
        </is>
      </c>
      <c r="AT152" s="4" t="n">
        <v>0</v>
      </c>
      <c r="AU152" s="4" t="n">
        <v>0</v>
      </c>
      <c r="AV152" s="47" t="inlineStr">
        <is>
          <t>No Match Found</t>
        </is>
      </c>
      <c r="AW152" s="47" t="inlineStr">
        <is>
          <t>NA</t>
        </is>
      </c>
      <c r="AX152" s="4" t="n">
        <v>0</v>
      </c>
      <c r="AY152" s="47" t="inlineStr">
        <is>
          <t>No Match Found</t>
        </is>
      </c>
      <c r="AZ152" s="47" t="inlineStr">
        <is>
          <t>NA</t>
        </is>
      </c>
      <c r="BA152" s="4" t="n">
        <v>0</v>
      </c>
      <c r="BB152" s="4" t="n">
        <v>0</v>
      </c>
      <c r="BC152" s="4" t="n">
        <v>0</v>
      </c>
      <c r="BD152" s="4" t="n">
        <v>0</v>
      </c>
      <c r="BE152" s="47" t="inlineStr">
        <is>
          <t>No Match Found</t>
        </is>
      </c>
      <c r="BF152" s="47" t="inlineStr">
        <is>
          <t>NA</t>
        </is>
      </c>
      <c r="BG152" s="6" t="n">
        <v>0</v>
      </c>
      <c r="BH152" s="53" t="inlineStr">
        <is>
          <t>No Match Found</t>
        </is>
      </c>
      <c r="BI152" s="53" t="inlineStr">
        <is>
          <t>NA</t>
        </is>
      </c>
      <c r="BJ152" s="4" t="n">
        <v>0</v>
      </c>
      <c r="BK152" s="4" t="n">
        <v>0</v>
      </c>
    </row>
    <row r="153">
      <c r="A153" t="n">
        <v>47</v>
      </c>
      <c r="B153" s="1" t="n"/>
      <c r="C153" s="1" t="n"/>
      <c r="D153" s="1" t="inlineStr"/>
      <c r="E153" s="2" t="n">
        <v>36000</v>
      </c>
      <c r="F153" s="36" t="inlineStr">
        <is>
          <t>No Match Found</t>
        </is>
      </c>
      <c r="G153" s="36" t="inlineStr">
        <is>
          <t>NA</t>
        </is>
      </c>
      <c r="H153" s="24" t="n">
        <v>36000</v>
      </c>
      <c r="I153" s="24" t="b">
        <v>1</v>
      </c>
      <c r="J153" s="2" t="n">
        <v>42906</v>
      </c>
      <c r="K153" s="36" t="inlineStr">
        <is>
          <t>No Match Found</t>
        </is>
      </c>
      <c r="L153" s="36" t="inlineStr">
        <is>
          <t>NA</t>
        </is>
      </c>
      <c r="M153" s="24" t="n">
        <v>42906</v>
      </c>
      <c r="N153" s="24" t="b">
        <v>1</v>
      </c>
      <c r="O153" s="2" t="n">
        <v>43009</v>
      </c>
      <c r="P153" t="inlineStr">
        <is>
          <t>Processed</t>
        </is>
      </c>
      <c r="Q153" s="36" t="inlineStr">
        <is>
          <t>No Match Found</t>
        </is>
      </c>
      <c r="R153" s="36" t="inlineStr">
        <is>
          <t>NA</t>
        </is>
      </c>
      <c r="S153" s="24" t="n">
        <v>43009</v>
      </c>
      <c r="T153" s="24" t="b">
        <v>1</v>
      </c>
      <c r="U153" s="2" t="n">
        <v>43735</v>
      </c>
      <c r="V153" s="36" t="inlineStr">
        <is>
          <t>No Match Found</t>
        </is>
      </c>
      <c r="W153" s="36" t="inlineStr">
        <is>
          <t>NA</t>
        </is>
      </c>
      <c r="X153" s="24" t="n">
        <v>43735</v>
      </c>
      <c r="Y153" s="24" t="b">
        <v>1</v>
      </c>
      <c r="AA153" s="39" t="inlineStr">
        <is>
          <t>No Match Found</t>
        </is>
      </c>
      <c r="AB153" s="39" t="inlineStr">
        <is>
          <t>NA</t>
        </is>
      </c>
      <c r="AD153" s="27" t="b">
        <v>1</v>
      </c>
      <c r="AE153" s="1" t="inlineStr">
        <is>
          <t>X</t>
        </is>
      </c>
      <c r="AF153" s="1" t="inlineStr">
        <is>
          <t>N</t>
        </is>
      </c>
      <c r="AG153" s="3" t="n">
        <v>0</v>
      </c>
      <c r="AH153" s="1" t="inlineStr">
        <is>
          <t>N</t>
        </is>
      </c>
      <c r="AI153" s="1" t="inlineStr">
        <is>
          <t>N</t>
        </is>
      </c>
      <c r="AJ153" s="4" t="n">
        <v>0</v>
      </c>
      <c r="AK153" s="5" t="n">
        <v>0</v>
      </c>
      <c r="AL153" s="41" t="inlineStr">
        <is>
          <t>No Match Found</t>
        </is>
      </c>
      <c r="AM153" s="41" t="inlineStr">
        <is>
          <t>NA</t>
        </is>
      </c>
      <c r="AN153" s="5" t="n">
        <v>3</v>
      </c>
      <c r="AO153" s="29" t="n">
        <v>3</v>
      </c>
      <c r="AP153" s="29" t="b">
        <v>1</v>
      </c>
      <c r="AQ153" s="4" t="n">
        <v>0</v>
      </c>
      <c r="AR153" s="47" t="inlineStr">
        <is>
          <t>No Match Found</t>
        </is>
      </c>
      <c r="AS153" s="47" t="inlineStr">
        <is>
          <t>NA</t>
        </is>
      </c>
      <c r="AT153" s="4" t="n">
        <v>0</v>
      </c>
      <c r="AU153" s="4" t="n">
        <v>0</v>
      </c>
      <c r="AV153" s="47" t="inlineStr">
        <is>
          <t>No Match Found</t>
        </is>
      </c>
      <c r="AW153" s="47" t="inlineStr">
        <is>
          <t>NA</t>
        </is>
      </c>
      <c r="AX153" s="4" t="n">
        <v>0</v>
      </c>
      <c r="AY153" s="47" t="inlineStr">
        <is>
          <t>No Match Found</t>
        </is>
      </c>
      <c r="AZ153" s="47" t="inlineStr">
        <is>
          <t>NA</t>
        </is>
      </c>
      <c r="BA153" s="4" t="n">
        <v>0</v>
      </c>
      <c r="BB153" s="4" t="n">
        <v>0</v>
      </c>
      <c r="BC153" s="4" t="n">
        <v>0</v>
      </c>
      <c r="BD153" s="4" t="n">
        <v>0</v>
      </c>
      <c r="BE153" s="47" t="inlineStr">
        <is>
          <t>No Match Found</t>
        </is>
      </c>
      <c r="BF153" s="47" t="inlineStr">
        <is>
          <t>NA</t>
        </is>
      </c>
      <c r="BG153" s="6" t="n">
        <v>0</v>
      </c>
      <c r="BH153" s="53" t="inlineStr">
        <is>
          <t>No Match Found</t>
        </is>
      </c>
      <c r="BI153" s="53" t="inlineStr">
        <is>
          <t>NA</t>
        </is>
      </c>
      <c r="BJ153" s="4" t="n">
        <v>0</v>
      </c>
      <c r="BK153" s="4" t="n">
        <v>0</v>
      </c>
    </row>
    <row r="154">
      <c r="A154" t="n">
        <v>48</v>
      </c>
      <c r="B154" s="1" t="n"/>
      <c r="C154" s="1" t="n"/>
      <c r="D154" s="1" t="inlineStr"/>
      <c r="E154" s="2" t="n">
        <v>28993</v>
      </c>
      <c r="F154" s="36" t="inlineStr">
        <is>
          <t>No Match Found</t>
        </is>
      </c>
      <c r="G154" s="36" t="inlineStr">
        <is>
          <t>NA</t>
        </is>
      </c>
      <c r="H154" s="24" t="n">
        <v>28993</v>
      </c>
      <c r="I154" s="24" t="b">
        <v>1</v>
      </c>
      <c r="J154" s="2" t="n">
        <v>42906</v>
      </c>
      <c r="K154" s="36" t="inlineStr">
        <is>
          <t>No Match Found</t>
        </is>
      </c>
      <c r="L154" s="36" t="inlineStr">
        <is>
          <t>NA</t>
        </is>
      </c>
      <c r="M154" s="24" t="n">
        <v>42906</v>
      </c>
      <c r="N154" s="24" t="b">
        <v>1</v>
      </c>
      <c r="O154" s="2" t="n">
        <v>42906</v>
      </c>
      <c r="P154" t="inlineStr">
        <is>
          <t>Processed</t>
        </is>
      </c>
      <c r="Q154" s="36" t="inlineStr">
        <is>
          <t>No Match Found</t>
        </is>
      </c>
      <c r="R154" s="36" t="inlineStr">
        <is>
          <t>NA</t>
        </is>
      </c>
      <c r="S154" s="24" t="n">
        <v>42906</v>
      </c>
      <c r="T154" s="24" t="b">
        <v>1</v>
      </c>
      <c r="U154" s="2" t="n">
        <v>43057</v>
      </c>
      <c r="V154" s="36" t="inlineStr">
        <is>
          <t>No Match Found</t>
        </is>
      </c>
      <c r="W154" s="36" t="inlineStr">
        <is>
          <t>NA</t>
        </is>
      </c>
      <c r="X154" s="24" t="n">
        <v>43057</v>
      </c>
      <c r="Y154" s="24" t="b">
        <v>1</v>
      </c>
      <c r="AA154" s="39" t="inlineStr">
        <is>
          <t>No Match Found</t>
        </is>
      </c>
      <c r="AB154" s="39" t="inlineStr">
        <is>
          <t>NA</t>
        </is>
      </c>
      <c r="AD154" s="27" t="b">
        <v>1</v>
      </c>
      <c r="AE154" s="1" t="inlineStr">
        <is>
          <t>X</t>
        </is>
      </c>
      <c r="AF154" s="1" t="inlineStr">
        <is>
          <t>N</t>
        </is>
      </c>
      <c r="AG154" s="3" t="n">
        <v>0</v>
      </c>
      <c r="AH154" s="1" t="inlineStr">
        <is>
          <t>N</t>
        </is>
      </c>
      <c r="AI154" s="1" t="inlineStr">
        <is>
          <t>N</t>
        </is>
      </c>
      <c r="AJ154" s="4" t="n">
        <v>0.05</v>
      </c>
      <c r="AK154" s="5" t="n">
        <v>0</v>
      </c>
      <c r="AL154" s="41" t="inlineStr">
        <is>
          <t>No Match Found</t>
        </is>
      </c>
      <c r="AM154" s="41" t="inlineStr">
        <is>
          <t>NA</t>
        </is>
      </c>
      <c r="AN154" s="5" t="n">
        <v>0</v>
      </c>
      <c r="AO154" s="29" t="n">
        <v>0</v>
      </c>
      <c r="AP154" s="29" t="b">
        <v>1</v>
      </c>
      <c r="AQ154" s="4" t="n">
        <v>0</v>
      </c>
      <c r="AR154" s="47" t="inlineStr">
        <is>
          <t>No Match Found</t>
        </is>
      </c>
      <c r="AS154" s="47" t="inlineStr">
        <is>
          <t>NA</t>
        </is>
      </c>
      <c r="AT154" s="4" t="n">
        <v>0</v>
      </c>
      <c r="AU154" s="4" t="n">
        <v>0</v>
      </c>
      <c r="AV154" s="47" t="inlineStr">
        <is>
          <t>No Match Found</t>
        </is>
      </c>
      <c r="AW154" s="47" t="inlineStr">
        <is>
          <t>NA</t>
        </is>
      </c>
      <c r="AX154" s="4" t="n">
        <v>0</v>
      </c>
      <c r="AY154" s="47" t="inlineStr">
        <is>
          <t>No Match Found</t>
        </is>
      </c>
      <c r="AZ154" s="47" t="inlineStr">
        <is>
          <t>NA</t>
        </is>
      </c>
      <c r="BA154" s="4" t="n">
        <v>0</v>
      </c>
      <c r="BB154" s="4" t="n">
        <v>0</v>
      </c>
      <c r="BC154" s="4" t="n">
        <v>0</v>
      </c>
      <c r="BD154" s="4" t="n">
        <v>0</v>
      </c>
      <c r="BE154" s="47" t="inlineStr">
        <is>
          <t>No Match Found</t>
        </is>
      </c>
      <c r="BF154" s="47" t="inlineStr">
        <is>
          <t>NA</t>
        </is>
      </c>
      <c r="BG154" s="6" t="n">
        <v>0</v>
      </c>
      <c r="BH154" s="53" t="inlineStr">
        <is>
          <t>No Match Found</t>
        </is>
      </c>
      <c r="BI154" s="53" t="inlineStr">
        <is>
          <t>NA</t>
        </is>
      </c>
      <c r="BJ154" s="4" t="n">
        <v>0</v>
      </c>
      <c r="BK154" s="4" t="n">
        <v>0</v>
      </c>
    </row>
    <row r="155">
      <c r="A155" t="n">
        <v>49</v>
      </c>
      <c r="B155" s="1" t="n"/>
      <c r="C155" s="1" t="n"/>
      <c r="D155" s="1" t="inlineStr"/>
      <c r="E155" s="2" t="n">
        <v>25398</v>
      </c>
      <c r="F155" s="36" t="inlineStr">
        <is>
          <t>No Match Found</t>
        </is>
      </c>
      <c r="G155" s="36" t="inlineStr">
        <is>
          <t>NA</t>
        </is>
      </c>
      <c r="H155" s="24" t="n">
        <v>25398</v>
      </c>
      <c r="I155" s="24" t="b">
        <v>1</v>
      </c>
      <c r="J155" s="2" t="n">
        <v>43018</v>
      </c>
      <c r="K155" s="36" t="inlineStr">
        <is>
          <t>No Match Found</t>
        </is>
      </c>
      <c r="L155" s="36" t="inlineStr">
        <is>
          <t>NA</t>
        </is>
      </c>
      <c r="M155" s="24" t="n">
        <v>43018</v>
      </c>
      <c r="N155" s="24" t="b">
        <v>1</v>
      </c>
      <c r="O155" s="2" t="n">
        <v>43132</v>
      </c>
      <c r="P155" t="inlineStr">
        <is>
          <t>Processed</t>
        </is>
      </c>
      <c r="Q155" s="36" t="inlineStr">
        <is>
          <t>No Match Found</t>
        </is>
      </c>
      <c r="R155" s="36" t="inlineStr">
        <is>
          <t>NA</t>
        </is>
      </c>
      <c r="S155" s="24" t="n">
        <v>43132</v>
      </c>
      <c r="T155" s="24" t="b">
        <v>1</v>
      </c>
      <c r="U155" s="2" t="n">
        <v>43175</v>
      </c>
      <c r="V155" s="36" t="inlineStr">
        <is>
          <t>No Match Found</t>
        </is>
      </c>
      <c r="W155" s="36" t="inlineStr">
        <is>
          <t>NA</t>
        </is>
      </c>
      <c r="X155" s="24" t="n">
        <v>43175</v>
      </c>
      <c r="Y155" s="24" t="b">
        <v>1</v>
      </c>
      <c r="AA155" s="39" t="inlineStr">
        <is>
          <t>No Match Found</t>
        </is>
      </c>
      <c r="AB155" s="39" t="inlineStr">
        <is>
          <t>NA</t>
        </is>
      </c>
      <c r="AD155" s="27" t="b">
        <v>1</v>
      </c>
      <c r="AE155" s="1" t="inlineStr">
        <is>
          <t>X</t>
        </is>
      </c>
      <c r="AF155" s="1" t="inlineStr">
        <is>
          <t>N</t>
        </is>
      </c>
      <c r="AG155" s="3" t="n">
        <v>0</v>
      </c>
      <c r="AH155" s="1" t="inlineStr">
        <is>
          <t>N</t>
        </is>
      </c>
      <c r="AI155" s="1" t="inlineStr">
        <is>
          <t>N</t>
        </is>
      </c>
      <c r="AJ155" s="4" t="n">
        <v>0</v>
      </c>
      <c r="AK155" s="5" t="n">
        <v>0</v>
      </c>
      <c r="AL155" s="41" t="inlineStr">
        <is>
          <t>No Match Found</t>
        </is>
      </c>
      <c r="AM155" s="41" t="inlineStr">
        <is>
          <t>NA</t>
        </is>
      </c>
      <c r="AN155" s="5" t="n">
        <v>0</v>
      </c>
      <c r="AO155" s="29" t="n">
        <v>0</v>
      </c>
      <c r="AP155" s="29" t="b">
        <v>1</v>
      </c>
      <c r="AQ155" s="4" t="n">
        <v>0</v>
      </c>
      <c r="AR155" s="47" t="inlineStr">
        <is>
          <t>No Match Found</t>
        </is>
      </c>
      <c r="AS155" s="47" t="inlineStr">
        <is>
          <t>NA</t>
        </is>
      </c>
      <c r="AT155" s="4" t="n">
        <v>0</v>
      </c>
      <c r="AU155" s="4" t="n">
        <v>0</v>
      </c>
      <c r="AV155" s="47" t="inlineStr">
        <is>
          <t>No Match Found</t>
        </is>
      </c>
      <c r="AW155" s="47" t="inlineStr">
        <is>
          <t>NA</t>
        </is>
      </c>
      <c r="AX155" s="4" t="n">
        <v>0</v>
      </c>
      <c r="AY155" s="47" t="inlineStr">
        <is>
          <t>No Match Found</t>
        </is>
      </c>
      <c r="AZ155" s="47" t="inlineStr">
        <is>
          <t>NA</t>
        </is>
      </c>
      <c r="BA155" s="4" t="n">
        <v>0</v>
      </c>
      <c r="BB155" s="4" t="n">
        <v>0</v>
      </c>
      <c r="BC155" s="4" t="n">
        <v>0</v>
      </c>
      <c r="BD155" s="4" t="n">
        <v>0</v>
      </c>
      <c r="BE155" s="47" t="inlineStr">
        <is>
          <t>No Match Found</t>
        </is>
      </c>
      <c r="BF155" s="47" t="inlineStr">
        <is>
          <t>NA</t>
        </is>
      </c>
      <c r="BG155" s="6" t="n">
        <v>0</v>
      </c>
      <c r="BH155" s="53" t="inlineStr">
        <is>
          <t>No Match Found</t>
        </is>
      </c>
      <c r="BI155" s="53" t="inlineStr">
        <is>
          <t>NA</t>
        </is>
      </c>
      <c r="BJ155" s="4" t="n">
        <v>0</v>
      </c>
      <c r="BK155" s="4" t="n">
        <v>0</v>
      </c>
    </row>
    <row r="156">
      <c r="A156" t="n">
        <v>50</v>
      </c>
      <c r="B156" s="1" t="n"/>
      <c r="C156" s="1" t="n"/>
      <c r="D156" s="1" t="inlineStr"/>
      <c r="E156" s="2" t="n">
        <v>33784</v>
      </c>
      <c r="F156" s="36" t="inlineStr">
        <is>
          <t>No Match Found</t>
        </is>
      </c>
      <c r="G156" s="36" t="inlineStr">
        <is>
          <t>NA</t>
        </is>
      </c>
      <c r="H156" s="24" t="n">
        <v>33784</v>
      </c>
      <c r="I156" s="24" t="b">
        <v>1</v>
      </c>
      <c r="J156" s="2" t="n">
        <v>43046</v>
      </c>
      <c r="K156" s="36" t="inlineStr">
        <is>
          <t>No Match Found</t>
        </is>
      </c>
      <c r="L156" s="36" t="inlineStr">
        <is>
          <t>NA</t>
        </is>
      </c>
      <c r="M156" s="24" t="n">
        <v>43046</v>
      </c>
      <c r="N156" s="24" t="b">
        <v>1</v>
      </c>
      <c r="O156" s="2" t="n">
        <v>43160</v>
      </c>
      <c r="P156" t="inlineStr">
        <is>
          <t>Processed</t>
        </is>
      </c>
      <c r="Q156" s="36" t="inlineStr">
        <is>
          <t>No Match Found</t>
        </is>
      </c>
      <c r="R156" s="36" t="inlineStr">
        <is>
          <t>NA</t>
        </is>
      </c>
      <c r="S156" s="24" t="n">
        <v>43160</v>
      </c>
      <c r="T156" s="24" t="b">
        <v>1</v>
      </c>
      <c r="U156" s="2" t="n">
        <v>43936</v>
      </c>
      <c r="V156" s="36" t="inlineStr">
        <is>
          <t>No Match Found</t>
        </is>
      </c>
      <c r="W156" s="36" t="inlineStr">
        <is>
          <t>NA</t>
        </is>
      </c>
      <c r="X156" s="24" t="n">
        <v>43936</v>
      </c>
      <c r="Y156" s="24" t="b">
        <v>1</v>
      </c>
      <c r="AA156" s="39" t="inlineStr">
        <is>
          <t>No Match Found</t>
        </is>
      </c>
      <c r="AB156" s="39" t="inlineStr">
        <is>
          <t>NA</t>
        </is>
      </c>
      <c r="AD156" s="27" t="b">
        <v>1</v>
      </c>
      <c r="AE156" s="1" t="inlineStr">
        <is>
          <t>X</t>
        </is>
      </c>
      <c r="AF156" s="1" t="inlineStr">
        <is>
          <t>N</t>
        </is>
      </c>
      <c r="AG156" s="3" t="n">
        <v>0</v>
      </c>
      <c r="AH156" s="1" t="inlineStr">
        <is>
          <t>N</t>
        </is>
      </c>
      <c r="AI156" s="1" t="inlineStr">
        <is>
          <t>N</t>
        </is>
      </c>
      <c r="AJ156" s="4" t="n">
        <v>0</v>
      </c>
      <c r="AK156" s="5" t="n">
        <v>0</v>
      </c>
      <c r="AL156" s="41" t="inlineStr">
        <is>
          <t>No Match Found</t>
        </is>
      </c>
      <c r="AM156" s="41" t="inlineStr">
        <is>
          <t>NA</t>
        </is>
      </c>
      <c r="AN156" s="5" t="n">
        <v>2</v>
      </c>
      <c r="AO156" s="29" t="n">
        <v>2</v>
      </c>
      <c r="AP156" s="29" t="b">
        <v>1</v>
      </c>
      <c r="AQ156" s="4" t="n">
        <v>0</v>
      </c>
      <c r="AR156" s="47" t="inlineStr">
        <is>
          <t>No Match Found</t>
        </is>
      </c>
      <c r="AS156" s="47" t="inlineStr">
        <is>
          <t>NA</t>
        </is>
      </c>
      <c r="AT156" s="4" t="n">
        <v>0</v>
      </c>
      <c r="AU156" s="4" t="n">
        <v>0</v>
      </c>
      <c r="AV156" s="47" t="inlineStr">
        <is>
          <t>No Match Found</t>
        </is>
      </c>
      <c r="AW156" s="47" t="inlineStr">
        <is>
          <t>NA</t>
        </is>
      </c>
      <c r="AX156" s="4" t="n">
        <v>0</v>
      </c>
      <c r="AY156" s="47" t="inlineStr">
        <is>
          <t>No Match Found</t>
        </is>
      </c>
      <c r="AZ156" s="47" t="inlineStr">
        <is>
          <t>NA</t>
        </is>
      </c>
      <c r="BA156" s="4" t="n">
        <v>0</v>
      </c>
      <c r="BB156" s="4" t="n">
        <v>0</v>
      </c>
      <c r="BC156" s="4" t="n">
        <v>0</v>
      </c>
      <c r="BD156" s="4" t="n">
        <v>0</v>
      </c>
      <c r="BE156" s="47" t="inlineStr">
        <is>
          <t>No Match Found</t>
        </is>
      </c>
      <c r="BF156" s="47" t="inlineStr">
        <is>
          <t>NA</t>
        </is>
      </c>
      <c r="BG156" s="6" t="n">
        <v>0</v>
      </c>
      <c r="BH156" s="53" t="inlineStr">
        <is>
          <t>No Match Found</t>
        </is>
      </c>
      <c r="BI156" s="53" t="inlineStr">
        <is>
          <t>NA</t>
        </is>
      </c>
      <c r="BJ156" s="4" t="n">
        <v>0</v>
      </c>
      <c r="BK156" s="4" t="n">
        <v>0</v>
      </c>
    </row>
    <row r="157">
      <c r="A157" t="n">
        <v>51</v>
      </c>
      <c r="B157" s="1" t="n"/>
      <c r="C157" s="1" t="n"/>
      <c r="D157" s="1" t="inlineStr"/>
      <c r="E157" s="2" t="n">
        <v>22193</v>
      </c>
      <c r="F157" s="36" t="inlineStr">
        <is>
          <t>No Match Found</t>
        </is>
      </c>
      <c r="G157" s="36" t="inlineStr">
        <is>
          <t>NA</t>
        </is>
      </c>
      <c r="H157" s="24" t="n">
        <v>22193</v>
      </c>
      <c r="I157" s="24" t="b">
        <v>1</v>
      </c>
      <c r="J157" s="2" t="n">
        <v>43334</v>
      </c>
      <c r="K157" s="36" t="inlineStr">
        <is>
          <t>No Match Found</t>
        </is>
      </c>
      <c r="L157" s="36" t="inlineStr">
        <is>
          <t>NA</t>
        </is>
      </c>
      <c r="M157" s="24" t="n">
        <v>43334</v>
      </c>
      <c r="N157" s="24" t="b">
        <v>1</v>
      </c>
      <c r="O157" s="2" t="n">
        <v>43435</v>
      </c>
      <c r="P157" t="inlineStr">
        <is>
          <t>Processed</t>
        </is>
      </c>
      <c r="Q157" s="36" t="inlineStr">
        <is>
          <t>No Match Found</t>
        </is>
      </c>
      <c r="R157" s="36" t="inlineStr">
        <is>
          <t>NA</t>
        </is>
      </c>
      <c r="S157" s="24" t="n">
        <v>43435</v>
      </c>
      <c r="T157" s="24" t="b">
        <v>1</v>
      </c>
      <c r="U157" s="2" t="n">
        <v>44561</v>
      </c>
      <c r="V157" s="36" t="inlineStr">
        <is>
          <t>No Match Found</t>
        </is>
      </c>
      <c r="W157" s="36" t="inlineStr">
        <is>
          <t>NA</t>
        </is>
      </c>
      <c r="X157" s="24" t="n">
        <v>44561</v>
      </c>
      <c r="Y157" s="24" t="b">
        <v>1</v>
      </c>
      <c r="Z157" s="2" t="n">
        <v>44531</v>
      </c>
      <c r="AA157" s="36" t="inlineStr">
        <is>
          <t>No Match Found</t>
        </is>
      </c>
      <c r="AB157" s="36" t="inlineStr">
        <is>
          <t>NA</t>
        </is>
      </c>
      <c r="AC157" s="24" t="n">
        <v>44531</v>
      </c>
      <c r="AD157" s="24" t="b">
        <v>1</v>
      </c>
      <c r="AE157" s="1" t="inlineStr">
        <is>
          <t>X</t>
        </is>
      </c>
      <c r="AF157" s="1" t="inlineStr">
        <is>
          <t>N</t>
        </is>
      </c>
      <c r="AG157" s="3" t="n">
        <v>0</v>
      </c>
      <c r="AH157" s="1" t="inlineStr">
        <is>
          <t>N</t>
        </is>
      </c>
      <c r="AI157" s="1" t="inlineStr">
        <is>
          <t>N</t>
        </is>
      </c>
      <c r="AJ157" s="4" t="n">
        <v>2917.58</v>
      </c>
      <c r="AK157" s="5" t="n">
        <v>0</v>
      </c>
      <c r="AL157" s="41" t="inlineStr">
        <is>
          <t>No Match Found</t>
        </is>
      </c>
      <c r="AM157" s="41" t="inlineStr">
        <is>
          <t>NA</t>
        </is>
      </c>
      <c r="AN157" s="5" t="n">
        <v>2</v>
      </c>
      <c r="AO157" s="29" t="n">
        <v>2</v>
      </c>
      <c r="AP157" s="29" t="b">
        <v>1</v>
      </c>
      <c r="AQ157" s="4" t="n">
        <v>0</v>
      </c>
      <c r="AR157" s="47" t="inlineStr">
        <is>
          <t>No Match Found</t>
        </is>
      </c>
      <c r="AS157" s="47" t="inlineStr">
        <is>
          <t>NA</t>
        </is>
      </c>
      <c r="AT157" s="4" t="n">
        <v>0</v>
      </c>
      <c r="AU157" s="4" t="n">
        <v>0</v>
      </c>
      <c r="AV157" s="47" t="inlineStr">
        <is>
          <t>No Match Found</t>
        </is>
      </c>
      <c r="AW157" s="47" t="inlineStr">
        <is>
          <t>NA</t>
        </is>
      </c>
      <c r="AX157" s="4" t="n">
        <v>0</v>
      </c>
      <c r="AY157" s="47" t="inlineStr">
        <is>
          <t>No Match Found</t>
        </is>
      </c>
      <c r="AZ157" s="47" t="inlineStr">
        <is>
          <t>NA</t>
        </is>
      </c>
      <c r="BA157" s="4" t="n">
        <v>0</v>
      </c>
      <c r="BB157" s="4" t="n">
        <v>0</v>
      </c>
      <c r="BC157" s="4" t="n">
        <v>0</v>
      </c>
      <c r="BD157" s="4" t="n">
        <v>0</v>
      </c>
      <c r="BE157" s="47" t="inlineStr">
        <is>
          <t>No Match Found</t>
        </is>
      </c>
      <c r="BF157" s="47" t="inlineStr">
        <is>
          <t>NA</t>
        </is>
      </c>
      <c r="BG157" s="6" t="n">
        <v>0</v>
      </c>
      <c r="BH157" s="53" t="inlineStr">
        <is>
          <t>No Match Found</t>
        </is>
      </c>
      <c r="BI157" s="53" t="inlineStr">
        <is>
          <t>NA</t>
        </is>
      </c>
      <c r="BJ157" s="4" t="n">
        <v>0</v>
      </c>
      <c r="BK157" s="4" t="n">
        <v>0</v>
      </c>
    </row>
    <row r="158">
      <c r="A158" t="n">
        <v>52</v>
      </c>
      <c r="B158" s="1" t="n"/>
      <c r="C158" s="1" t="n"/>
      <c r="D158" s="1" t="inlineStr"/>
      <c r="E158" s="2" t="n">
        <v>36479</v>
      </c>
      <c r="F158" s="36" t="inlineStr">
        <is>
          <t>No Match Found</t>
        </is>
      </c>
      <c r="G158" s="36" t="inlineStr">
        <is>
          <t>NA</t>
        </is>
      </c>
      <c r="H158" s="24" t="n">
        <v>36479</v>
      </c>
      <c r="I158" s="24" t="b">
        <v>1</v>
      </c>
      <c r="J158" s="2" t="n">
        <v>43507</v>
      </c>
      <c r="K158" s="36" t="inlineStr">
        <is>
          <t>No Match Found</t>
        </is>
      </c>
      <c r="L158" s="36" t="inlineStr">
        <is>
          <t>NA</t>
        </is>
      </c>
      <c r="M158" s="24" t="n">
        <v>43507</v>
      </c>
      <c r="N158" s="24" t="b">
        <v>1</v>
      </c>
      <c r="O158" s="2" t="n">
        <v>43617</v>
      </c>
      <c r="P158" t="inlineStr">
        <is>
          <t>Processed</t>
        </is>
      </c>
      <c r="Q158" s="36" t="inlineStr">
        <is>
          <t>No Match Found</t>
        </is>
      </c>
      <c r="R158" s="36" t="inlineStr">
        <is>
          <t>NA</t>
        </is>
      </c>
      <c r="S158" s="24" t="n">
        <v>43617</v>
      </c>
      <c r="T158" s="24" t="b">
        <v>1</v>
      </c>
      <c r="U158" s="2" t="n">
        <v>43774</v>
      </c>
      <c r="V158" s="36" t="inlineStr">
        <is>
          <t>No Match Found</t>
        </is>
      </c>
      <c r="W158" s="36" t="inlineStr">
        <is>
          <t>NA</t>
        </is>
      </c>
      <c r="X158" s="24" t="n">
        <v>43774</v>
      </c>
      <c r="Y158" s="24" t="b">
        <v>1</v>
      </c>
      <c r="AA158" s="39" t="inlineStr">
        <is>
          <t>No Match Found</t>
        </is>
      </c>
      <c r="AB158" s="39" t="inlineStr">
        <is>
          <t>NA</t>
        </is>
      </c>
      <c r="AD158" s="27" t="b">
        <v>1</v>
      </c>
      <c r="AE158" s="1" t="inlineStr">
        <is>
          <t>X</t>
        </is>
      </c>
      <c r="AF158" s="1" t="inlineStr">
        <is>
          <t>N</t>
        </is>
      </c>
      <c r="AG158" s="3" t="n">
        <v>0</v>
      </c>
      <c r="AH158" s="1" t="inlineStr">
        <is>
          <t>N</t>
        </is>
      </c>
      <c r="AI158" s="1" t="inlineStr">
        <is>
          <t>N</t>
        </is>
      </c>
      <c r="AJ158" s="4" t="n">
        <v>0</v>
      </c>
      <c r="AK158" s="5" t="n">
        <v>0</v>
      </c>
      <c r="AL158" s="41" t="inlineStr">
        <is>
          <t>No Match Found</t>
        </is>
      </c>
      <c r="AM158" s="41" t="inlineStr">
        <is>
          <t>NA</t>
        </is>
      </c>
      <c r="AN158" s="5" t="n">
        <v>0</v>
      </c>
      <c r="AO158" s="29" t="n">
        <v>0</v>
      </c>
      <c r="AP158" s="29" t="b">
        <v>1</v>
      </c>
      <c r="AQ158" s="4" t="n">
        <v>0</v>
      </c>
      <c r="AR158" s="47" t="inlineStr">
        <is>
          <t>No Match Found</t>
        </is>
      </c>
      <c r="AS158" s="47" t="inlineStr">
        <is>
          <t>NA</t>
        </is>
      </c>
      <c r="AT158" s="4" t="n">
        <v>0</v>
      </c>
      <c r="AU158" s="4" t="n">
        <v>0</v>
      </c>
      <c r="AV158" s="47" t="inlineStr">
        <is>
          <t>No Match Found</t>
        </is>
      </c>
      <c r="AW158" s="47" t="inlineStr">
        <is>
          <t>NA</t>
        </is>
      </c>
      <c r="AX158" s="4" t="n">
        <v>0</v>
      </c>
      <c r="AY158" s="47" t="inlineStr">
        <is>
          <t>No Match Found</t>
        </is>
      </c>
      <c r="AZ158" s="47" t="inlineStr">
        <is>
          <t>NA</t>
        </is>
      </c>
      <c r="BA158" s="4" t="n">
        <v>0</v>
      </c>
      <c r="BB158" s="4" t="n">
        <v>0</v>
      </c>
      <c r="BC158" s="4" t="n">
        <v>0</v>
      </c>
      <c r="BD158" s="4" t="n">
        <v>0</v>
      </c>
      <c r="BE158" s="47" t="inlineStr">
        <is>
          <t>No Match Found</t>
        </is>
      </c>
      <c r="BF158" s="47" t="inlineStr">
        <is>
          <t>NA</t>
        </is>
      </c>
      <c r="BG158" s="6" t="n">
        <v>0</v>
      </c>
      <c r="BH158" s="53" t="inlineStr">
        <is>
          <t>No Match Found</t>
        </is>
      </c>
      <c r="BI158" s="53" t="inlineStr">
        <is>
          <t>NA</t>
        </is>
      </c>
      <c r="BJ158" s="4" t="n">
        <v>0</v>
      </c>
      <c r="BK158" s="4" t="n">
        <v>0</v>
      </c>
    </row>
    <row r="159">
      <c r="A159" t="n">
        <v>53</v>
      </c>
      <c r="B159" s="1" t="n"/>
      <c r="C159" s="1" t="n"/>
      <c r="D159" s="1" t="inlineStr"/>
      <c r="E159" s="2" t="n">
        <v>25601</v>
      </c>
      <c r="F159" s="36" t="inlineStr">
        <is>
          <t>No Match Found</t>
        </is>
      </c>
      <c r="G159" s="36" t="inlineStr">
        <is>
          <t>NA</t>
        </is>
      </c>
      <c r="H159" s="24" t="n">
        <v>25601</v>
      </c>
      <c r="I159" s="24" t="b">
        <v>1</v>
      </c>
      <c r="J159" s="2" t="n">
        <v>43663</v>
      </c>
      <c r="K159" s="36" t="inlineStr">
        <is>
          <t>No Match Found</t>
        </is>
      </c>
      <c r="L159" s="36" t="inlineStr">
        <is>
          <t>NA</t>
        </is>
      </c>
      <c r="M159" s="24" t="n">
        <v>43663</v>
      </c>
      <c r="N159" s="24" t="b">
        <v>1</v>
      </c>
      <c r="O159" s="2" t="n">
        <v>43663</v>
      </c>
      <c r="P159" t="inlineStr">
        <is>
          <t>Processed</t>
        </is>
      </c>
      <c r="Q159" s="36" t="inlineStr">
        <is>
          <t>No Match Found</t>
        </is>
      </c>
      <c r="R159" s="36" t="inlineStr">
        <is>
          <t>NA</t>
        </is>
      </c>
      <c r="S159" s="24" t="n">
        <v>43663</v>
      </c>
      <c r="T159" s="24" t="b">
        <v>1</v>
      </c>
      <c r="U159" s="2" t="n">
        <v>44505</v>
      </c>
      <c r="V159" s="36" t="inlineStr">
        <is>
          <t>No Match Found</t>
        </is>
      </c>
      <c r="W159" s="36" t="inlineStr">
        <is>
          <t>NA</t>
        </is>
      </c>
      <c r="X159" s="24" t="n">
        <v>44505</v>
      </c>
      <c r="Y159" s="24" t="b">
        <v>1</v>
      </c>
      <c r="AA159" s="39" t="inlineStr">
        <is>
          <t>No Match Found</t>
        </is>
      </c>
      <c r="AB159" s="39" t="inlineStr">
        <is>
          <t>NA</t>
        </is>
      </c>
      <c r="AD159" s="27" t="b">
        <v>1</v>
      </c>
      <c r="AE159" s="1" t="inlineStr">
        <is>
          <t>X</t>
        </is>
      </c>
      <c r="AF159" s="1" t="inlineStr">
        <is>
          <t>N</t>
        </is>
      </c>
      <c r="AG159" s="3" t="n">
        <v>0</v>
      </c>
      <c r="AH159" s="1" t="inlineStr">
        <is>
          <t>N</t>
        </is>
      </c>
      <c r="AI159" s="1" t="inlineStr">
        <is>
          <t>N</t>
        </is>
      </c>
      <c r="AJ159" s="4" t="n">
        <v>0</v>
      </c>
      <c r="AK159" s="5" t="n">
        <v>0</v>
      </c>
      <c r="AL159" s="41" t="inlineStr">
        <is>
          <t>No Match Found</t>
        </is>
      </c>
      <c r="AM159" s="41" t="inlineStr">
        <is>
          <t>NA</t>
        </is>
      </c>
      <c r="AN159" s="5" t="n">
        <v>13</v>
      </c>
      <c r="AO159" s="29" t="n">
        <v>13</v>
      </c>
      <c r="AP159" s="29" t="b">
        <v>1</v>
      </c>
      <c r="AQ159" s="4" t="n">
        <v>0</v>
      </c>
      <c r="AR159" s="47" t="inlineStr">
        <is>
          <t>No Match Found</t>
        </is>
      </c>
      <c r="AS159" s="47" t="inlineStr">
        <is>
          <t>NA</t>
        </is>
      </c>
      <c r="AT159" s="4" t="n">
        <v>0</v>
      </c>
      <c r="AU159" s="4" t="n">
        <v>0</v>
      </c>
      <c r="AV159" s="47" t="inlineStr">
        <is>
          <t>No Match Found</t>
        </is>
      </c>
      <c r="AW159" s="47" t="inlineStr">
        <is>
          <t>NA</t>
        </is>
      </c>
      <c r="AX159" s="4" t="n">
        <v>0</v>
      </c>
      <c r="AY159" s="47" t="inlineStr">
        <is>
          <t>No Match Found</t>
        </is>
      </c>
      <c r="AZ159" s="47" t="inlineStr">
        <is>
          <t>NA</t>
        </is>
      </c>
      <c r="BA159" s="4" t="n">
        <v>0</v>
      </c>
      <c r="BB159" s="4" t="n">
        <v>0</v>
      </c>
      <c r="BC159" s="4" t="n">
        <v>0</v>
      </c>
      <c r="BD159" s="4" t="n">
        <v>0</v>
      </c>
      <c r="BE159" s="47" t="inlineStr">
        <is>
          <t>No Match Found</t>
        </is>
      </c>
      <c r="BF159" s="47" t="inlineStr">
        <is>
          <t>NA</t>
        </is>
      </c>
      <c r="BG159" s="6" t="n">
        <v>0</v>
      </c>
      <c r="BH159" s="53" t="inlineStr">
        <is>
          <t>No Match Found</t>
        </is>
      </c>
      <c r="BI159" s="53" t="inlineStr">
        <is>
          <t>NA</t>
        </is>
      </c>
      <c r="BJ159" s="4" t="n">
        <v>0</v>
      </c>
      <c r="BK159" s="4" t="n">
        <v>0</v>
      </c>
    </row>
    <row r="160">
      <c r="A160" t="n">
        <v>54</v>
      </c>
      <c r="B160" s="1" t="n"/>
      <c r="C160" s="1" t="n"/>
      <c r="D160" s="1" t="inlineStr"/>
      <c r="E160" s="2" t="n">
        <v>34878</v>
      </c>
      <c r="F160" s="36" t="inlineStr">
        <is>
          <t>No Match Found</t>
        </is>
      </c>
      <c r="G160" s="36" t="inlineStr">
        <is>
          <t>NA</t>
        </is>
      </c>
      <c r="H160" s="24" t="n">
        <v>34878</v>
      </c>
      <c r="I160" s="24" t="b">
        <v>1</v>
      </c>
      <c r="J160" s="2" t="n">
        <v>43675</v>
      </c>
      <c r="K160" s="36" t="inlineStr">
        <is>
          <t>No Match Found</t>
        </is>
      </c>
      <c r="L160" s="36" t="inlineStr">
        <is>
          <t>NA</t>
        </is>
      </c>
      <c r="M160" s="24" t="n">
        <v>43675</v>
      </c>
      <c r="N160" s="24" t="b">
        <v>1</v>
      </c>
      <c r="O160" s="2" t="n">
        <v>43770</v>
      </c>
      <c r="P160" t="inlineStr">
        <is>
          <t>Processed</t>
        </is>
      </c>
      <c r="Q160" s="36" t="inlineStr">
        <is>
          <t>No Match Found</t>
        </is>
      </c>
      <c r="R160" s="36" t="inlineStr">
        <is>
          <t>NA</t>
        </is>
      </c>
      <c r="S160" s="24" t="n">
        <v>43770</v>
      </c>
      <c r="T160" s="24" t="b">
        <v>1</v>
      </c>
      <c r="U160" s="2" t="n">
        <v>44407</v>
      </c>
      <c r="V160" s="36" t="inlineStr">
        <is>
          <t>No Match Found</t>
        </is>
      </c>
      <c r="W160" s="36" t="inlineStr">
        <is>
          <t>NA</t>
        </is>
      </c>
      <c r="X160" s="24" t="n">
        <v>44407</v>
      </c>
      <c r="Y160" s="24" t="b">
        <v>1</v>
      </c>
      <c r="AA160" s="39" t="inlineStr">
        <is>
          <t>No Match Found</t>
        </is>
      </c>
      <c r="AB160" s="39" t="inlineStr">
        <is>
          <t>NA</t>
        </is>
      </c>
      <c r="AD160" s="27" t="b">
        <v>1</v>
      </c>
      <c r="AE160" s="1" t="inlineStr">
        <is>
          <t>X</t>
        </is>
      </c>
      <c r="AF160" s="1" t="inlineStr">
        <is>
          <t>N</t>
        </is>
      </c>
      <c r="AG160" s="3" t="n">
        <v>0</v>
      </c>
      <c r="AH160" s="1" t="inlineStr">
        <is>
          <t>N</t>
        </is>
      </c>
      <c r="AI160" s="1" t="inlineStr">
        <is>
          <t>N</t>
        </is>
      </c>
      <c r="AJ160" s="4" t="n">
        <v>1759.6</v>
      </c>
      <c r="AK160" s="5" t="n">
        <v>0</v>
      </c>
      <c r="AL160" s="41" t="inlineStr">
        <is>
          <t>No Match Found</t>
        </is>
      </c>
      <c r="AM160" s="41" t="inlineStr">
        <is>
          <t>NA</t>
        </is>
      </c>
      <c r="AN160" s="5" t="n">
        <v>2</v>
      </c>
      <c r="AO160" s="29" t="n">
        <v>2</v>
      </c>
      <c r="AP160" s="29" t="b">
        <v>1</v>
      </c>
      <c r="AQ160" s="4" t="n">
        <v>0</v>
      </c>
      <c r="AR160" s="47" t="inlineStr">
        <is>
          <t>No Match Found</t>
        </is>
      </c>
      <c r="AS160" s="47" t="inlineStr">
        <is>
          <t>NA</t>
        </is>
      </c>
      <c r="AT160" s="4" t="n">
        <v>0</v>
      </c>
      <c r="AU160" s="4" t="n">
        <v>0</v>
      </c>
      <c r="AV160" s="47" t="inlineStr">
        <is>
          <t>No Match Found</t>
        </is>
      </c>
      <c r="AW160" s="47" t="inlineStr">
        <is>
          <t>NA</t>
        </is>
      </c>
      <c r="AX160" s="4" t="n">
        <v>0</v>
      </c>
      <c r="AY160" s="47" t="inlineStr">
        <is>
          <t>No Match Found</t>
        </is>
      </c>
      <c r="AZ160" s="47" t="inlineStr">
        <is>
          <t>NA</t>
        </is>
      </c>
      <c r="BA160" s="4" t="n">
        <v>0</v>
      </c>
      <c r="BB160" s="4" t="n">
        <v>0</v>
      </c>
      <c r="BC160" s="4" t="n">
        <v>0</v>
      </c>
      <c r="BD160" s="4" t="n">
        <v>0</v>
      </c>
      <c r="BE160" s="47" t="inlineStr">
        <is>
          <t>No Match Found</t>
        </is>
      </c>
      <c r="BF160" s="47" t="inlineStr">
        <is>
          <t>NA</t>
        </is>
      </c>
      <c r="BG160" s="6" t="n">
        <v>0</v>
      </c>
      <c r="BH160" s="53" t="inlineStr">
        <is>
          <t>No Match Found</t>
        </is>
      </c>
      <c r="BI160" s="53" t="inlineStr">
        <is>
          <t>NA</t>
        </is>
      </c>
      <c r="BJ160" s="4" t="n">
        <v>0</v>
      </c>
      <c r="BK160" s="4" t="n">
        <v>0</v>
      </c>
    </row>
    <row r="161">
      <c r="A161" t="n">
        <v>55</v>
      </c>
      <c r="B161" s="1" t="n"/>
      <c r="C161" s="1" t="n"/>
      <c r="D161" s="1" t="inlineStr"/>
      <c r="E161" s="2" t="n">
        <v>33817</v>
      </c>
      <c r="F161" s="36" t="inlineStr">
        <is>
          <t>No Match Found</t>
        </is>
      </c>
      <c r="G161" s="36" t="inlineStr">
        <is>
          <t>NA</t>
        </is>
      </c>
      <c r="H161" s="24" t="n">
        <v>33817</v>
      </c>
      <c r="I161" s="24" t="b">
        <v>1</v>
      </c>
      <c r="J161" s="2" t="n">
        <v>43720</v>
      </c>
      <c r="K161" s="36" t="inlineStr">
        <is>
          <t>No Match Found</t>
        </is>
      </c>
      <c r="L161" s="36" t="inlineStr">
        <is>
          <t>NA</t>
        </is>
      </c>
      <c r="M161" s="24" t="n">
        <v>43720</v>
      </c>
      <c r="N161" s="24" t="b">
        <v>1</v>
      </c>
      <c r="O161" s="2" t="n">
        <v>43831</v>
      </c>
      <c r="P161" t="inlineStr">
        <is>
          <t>Processed</t>
        </is>
      </c>
      <c r="Q161" s="36" t="inlineStr">
        <is>
          <t>No Match Found</t>
        </is>
      </c>
      <c r="R161" s="36" t="inlineStr">
        <is>
          <t>NA</t>
        </is>
      </c>
      <c r="S161" s="24" t="n">
        <v>43831</v>
      </c>
      <c r="T161" s="24" t="b">
        <v>1</v>
      </c>
      <c r="U161" s="2" t="n">
        <v>44223</v>
      </c>
      <c r="V161" s="36" t="inlineStr">
        <is>
          <t>No Match Found</t>
        </is>
      </c>
      <c r="W161" s="36" t="inlineStr">
        <is>
          <t>NA</t>
        </is>
      </c>
      <c r="X161" s="24" t="n">
        <v>44223</v>
      </c>
      <c r="Y161" s="24" t="b">
        <v>1</v>
      </c>
      <c r="AA161" s="39" t="inlineStr">
        <is>
          <t>No Match Found</t>
        </is>
      </c>
      <c r="AB161" s="39" t="inlineStr">
        <is>
          <t>NA</t>
        </is>
      </c>
      <c r="AD161" s="27" t="b">
        <v>1</v>
      </c>
      <c r="AE161" s="1" t="inlineStr">
        <is>
          <t>X</t>
        </is>
      </c>
      <c r="AF161" s="1" t="inlineStr">
        <is>
          <t>N</t>
        </is>
      </c>
      <c r="AG161" s="3" t="n">
        <v>0</v>
      </c>
      <c r="AH161" s="1" t="inlineStr">
        <is>
          <t>N</t>
        </is>
      </c>
      <c r="AI161" s="1" t="inlineStr">
        <is>
          <t>N</t>
        </is>
      </c>
      <c r="AJ161" s="4" t="n">
        <v>0</v>
      </c>
      <c r="AK161" s="5" t="n">
        <v>0</v>
      </c>
      <c r="AL161" s="41" t="inlineStr">
        <is>
          <t>No Match Found</t>
        </is>
      </c>
      <c r="AM161" s="41" t="inlineStr">
        <is>
          <t>NA</t>
        </is>
      </c>
      <c r="AN161" s="5" t="n">
        <v>1</v>
      </c>
      <c r="AO161" s="29" t="n">
        <v>1</v>
      </c>
      <c r="AP161" s="29" t="b">
        <v>1</v>
      </c>
      <c r="AQ161" s="4" t="n">
        <v>0</v>
      </c>
      <c r="AR161" s="47" t="inlineStr">
        <is>
          <t>No Match Found</t>
        </is>
      </c>
      <c r="AS161" s="47" t="inlineStr">
        <is>
          <t>NA</t>
        </is>
      </c>
      <c r="AT161" s="4" t="n">
        <v>0</v>
      </c>
      <c r="AU161" s="4" t="n">
        <v>0</v>
      </c>
      <c r="AV161" s="47" t="inlineStr">
        <is>
          <t>No Match Found</t>
        </is>
      </c>
      <c r="AW161" s="47" t="inlineStr">
        <is>
          <t>NA</t>
        </is>
      </c>
      <c r="AX161" s="4" t="n">
        <v>0</v>
      </c>
      <c r="AY161" s="47" t="inlineStr">
        <is>
          <t>No Match Found</t>
        </is>
      </c>
      <c r="AZ161" s="47" t="inlineStr">
        <is>
          <t>NA</t>
        </is>
      </c>
      <c r="BA161" s="4" t="n">
        <v>0</v>
      </c>
      <c r="BB161" s="4" t="n">
        <v>0</v>
      </c>
      <c r="BC161" s="4" t="n">
        <v>0</v>
      </c>
      <c r="BD161" s="4" t="n">
        <v>0</v>
      </c>
      <c r="BE161" s="47" t="inlineStr">
        <is>
          <t>No Match Found</t>
        </is>
      </c>
      <c r="BF161" s="47" t="inlineStr">
        <is>
          <t>NA</t>
        </is>
      </c>
      <c r="BG161" s="6" t="n">
        <v>0</v>
      </c>
      <c r="BH161" s="53" t="inlineStr">
        <is>
          <t>No Match Found</t>
        </is>
      </c>
      <c r="BI161" s="53" t="inlineStr">
        <is>
          <t>NA</t>
        </is>
      </c>
      <c r="BJ161" s="4" t="n">
        <v>0</v>
      </c>
      <c r="BK161" s="4" t="n">
        <v>0</v>
      </c>
    </row>
    <row r="162">
      <c r="A162" t="n">
        <v>56</v>
      </c>
      <c r="B162" s="1" t="n"/>
      <c r="C162" s="1" t="n"/>
      <c r="D162" s="1" t="inlineStr"/>
      <c r="E162" s="2" t="n">
        <v>33406</v>
      </c>
      <c r="F162" s="36" t="inlineStr">
        <is>
          <t>No Match Found</t>
        </is>
      </c>
      <c r="G162" s="36" t="inlineStr">
        <is>
          <t>NA</t>
        </is>
      </c>
      <c r="H162" s="24" t="n">
        <v>33406</v>
      </c>
      <c r="I162" s="24" t="b">
        <v>1</v>
      </c>
      <c r="J162" s="2" t="n">
        <v>43774</v>
      </c>
      <c r="K162" s="36" t="inlineStr">
        <is>
          <t>No Match Found</t>
        </is>
      </c>
      <c r="L162" s="36" t="inlineStr">
        <is>
          <t>NA</t>
        </is>
      </c>
      <c r="M162" s="24" t="n">
        <v>43774</v>
      </c>
      <c r="N162" s="24" t="b">
        <v>1</v>
      </c>
      <c r="O162" s="2" t="n">
        <v>43891</v>
      </c>
      <c r="P162" t="inlineStr">
        <is>
          <t>Processed</t>
        </is>
      </c>
      <c r="Q162" s="36" t="inlineStr">
        <is>
          <t>No Match Found</t>
        </is>
      </c>
      <c r="R162" s="36" t="inlineStr">
        <is>
          <t>NA</t>
        </is>
      </c>
      <c r="S162" s="24" t="n">
        <v>43891</v>
      </c>
      <c r="T162" s="24" t="b">
        <v>1</v>
      </c>
      <c r="U162" s="2" t="n">
        <v>45198</v>
      </c>
      <c r="V162" s="36" t="inlineStr">
        <is>
          <t>No Match Found</t>
        </is>
      </c>
      <c r="W162" s="36" t="inlineStr">
        <is>
          <t>NA</t>
        </is>
      </c>
      <c r="X162" s="24" t="n">
        <v>45198</v>
      </c>
      <c r="Y162" s="24" t="b">
        <v>1</v>
      </c>
      <c r="Z162" s="2" t="n">
        <v>45076</v>
      </c>
      <c r="AA162" s="36" t="inlineStr">
        <is>
          <t>No Match Found</t>
        </is>
      </c>
      <c r="AB162" s="36" t="inlineStr">
        <is>
          <t>NA</t>
        </is>
      </c>
      <c r="AC162" s="24" t="n">
        <v>45274</v>
      </c>
      <c r="AD162" s="24" t="b">
        <v>0</v>
      </c>
      <c r="AE162" s="1" t="inlineStr">
        <is>
          <t>X</t>
        </is>
      </c>
      <c r="AF162" s="1" t="inlineStr">
        <is>
          <t>N</t>
        </is>
      </c>
      <c r="AG162" s="3" t="n">
        <v>0</v>
      </c>
      <c r="AH162" s="1" t="inlineStr">
        <is>
          <t>N</t>
        </is>
      </c>
      <c r="AI162" s="1" t="inlineStr">
        <is>
          <t>N</t>
        </is>
      </c>
      <c r="AJ162" s="4" t="n">
        <v>572.3</v>
      </c>
      <c r="AK162" s="5" t="n">
        <v>0</v>
      </c>
      <c r="AL162" s="41" t="inlineStr">
        <is>
          <t>No Match Found</t>
        </is>
      </c>
      <c r="AM162" s="41" t="inlineStr">
        <is>
          <t>NA</t>
        </is>
      </c>
      <c r="AN162" s="5" t="n">
        <v>5</v>
      </c>
      <c r="AO162" s="29" t="n">
        <v>5</v>
      </c>
      <c r="AP162" s="29" t="b">
        <v>1</v>
      </c>
      <c r="AQ162" s="4" t="n">
        <v>0</v>
      </c>
      <c r="AR162" s="47" t="inlineStr">
        <is>
          <t>No Match Found</t>
        </is>
      </c>
      <c r="AS162" s="47" t="inlineStr">
        <is>
          <t>NA</t>
        </is>
      </c>
      <c r="AT162" s="4" t="n">
        <v>0</v>
      </c>
      <c r="AU162" s="4" t="n">
        <v>0</v>
      </c>
      <c r="AV162" s="47" t="inlineStr">
        <is>
          <t>No Match Found</t>
        </is>
      </c>
      <c r="AW162" s="47" t="inlineStr">
        <is>
          <t>NA</t>
        </is>
      </c>
      <c r="AX162" s="4" t="n">
        <v>0</v>
      </c>
      <c r="AY162" s="47" t="inlineStr">
        <is>
          <t>No Match Found</t>
        </is>
      </c>
      <c r="AZ162" s="47" t="inlineStr">
        <is>
          <t>NA</t>
        </is>
      </c>
      <c r="BA162" s="4" t="n">
        <v>0</v>
      </c>
      <c r="BB162" s="4" t="n">
        <v>0</v>
      </c>
      <c r="BC162" s="4" t="n">
        <v>0</v>
      </c>
      <c r="BD162" s="4" t="n">
        <v>0</v>
      </c>
      <c r="BE162" s="47" t="inlineStr">
        <is>
          <t>No Match Found</t>
        </is>
      </c>
      <c r="BF162" s="47" t="inlineStr">
        <is>
          <t>NA</t>
        </is>
      </c>
      <c r="BG162" s="6" t="n">
        <v>0</v>
      </c>
      <c r="BH162" s="53" t="inlineStr">
        <is>
          <t>No Match Found</t>
        </is>
      </c>
      <c r="BI162" s="53" t="inlineStr">
        <is>
          <t>NA</t>
        </is>
      </c>
      <c r="BJ162" s="4" t="n">
        <v>0</v>
      </c>
      <c r="BK162" s="4" t="n">
        <v>0</v>
      </c>
    </row>
    <row r="163">
      <c r="A163" t="n">
        <v>57</v>
      </c>
      <c r="B163" s="1" t="n"/>
      <c r="C163" s="1" t="n"/>
      <c r="D163" s="1" t="inlineStr"/>
      <c r="E163" s="2" t="n">
        <v>35896</v>
      </c>
      <c r="F163" s="36" t="inlineStr">
        <is>
          <t>No Match Found</t>
        </is>
      </c>
      <c r="G163" s="36" t="inlineStr">
        <is>
          <t>NA</t>
        </is>
      </c>
      <c r="H163" s="24" t="n">
        <v>35896</v>
      </c>
      <c r="I163" s="24" t="b">
        <v>1</v>
      </c>
      <c r="J163" s="2" t="n">
        <v>43885</v>
      </c>
      <c r="K163" s="36" t="inlineStr">
        <is>
          <t>No Match Found</t>
        </is>
      </c>
      <c r="L163" s="36" t="inlineStr">
        <is>
          <t>NA</t>
        </is>
      </c>
      <c r="M163" s="24" t="n">
        <v>43885</v>
      </c>
      <c r="N163" s="24" t="b">
        <v>1</v>
      </c>
      <c r="O163" s="2" t="n">
        <v>43983</v>
      </c>
      <c r="P163" t="inlineStr">
        <is>
          <t>Processed</t>
        </is>
      </c>
      <c r="Q163" s="36" t="inlineStr">
        <is>
          <t>No Match Found</t>
        </is>
      </c>
      <c r="R163" s="36" t="inlineStr">
        <is>
          <t>NA</t>
        </is>
      </c>
      <c r="S163" s="24" t="n">
        <v>43983</v>
      </c>
      <c r="T163" s="24" t="b">
        <v>1</v>
      </c>
      <c r="U163" s="2" t="n">
        <v>44309</v>
      </c>
      <c r="V163" s="36" t="inlineStr">
        <is>
          <t>No Match Found</t>
        </is>
      </c>
      <c r="W163" s="36" t="inlineStr">
        <is>
          <t>NA</t>
        </is>
      </c>
      <c r="X163" s="24" t="n">
        <v>44309</v>
      </c>
      <c r="Y163" s="24" t="b">
        <v>1</v>
      </c>
      <c r="AA163" s="39" t="inlineStr">
        <is>
          <t>No Match Found</t>
        </is>
      </c>
      <c r="AB163" s="39" t="inlineStr">
        <is>
          <t>NA</t>
        </is>
      </c>
      <c r="AD163" s="27" t="b">
        <v>1</v>
      </c>
      <c r="AE163" s="1" t="inlineStr">
        <is>
          <t>X</t>
        </is>
      </c>
      <c r="AF163" s="1" t="inlineStr">
        <is>
          <t>N</t>
        </is>
      </c>
      <c r="AG163" s="3" t="n">
        <v>0</v>
      </c>
      <c r="AH163" s="1" t="inlineStr">
        <is>
          <t>N</t>
        </is>
      </c>
      <c r="AI163" s="1" t="inlineStr">
        <is>
          <t>N</t>
        </is>
      </c>
      <c r="AJ163" s="4" t="n">
        <v>0</v>
      </c>
      <c r="AK163" s="5" t="n">
        <v>0</v>
      </c>
      <c r="AL163" s="41" t="inlineStr">
        <is>
          <t>No Match Found</t>
        </is>
      </c>
      <c r="AM163" s="41" t="inlineStr">
        <is>
          <t>NA</t>
        </is>
      </c>
      <c r="AN163" s="5" t="n">
        <v>0</v>
      </c>
      <c r="AO163" s="29" t="n">
        <v>0</v>
      </c>
      <c r="AP163" s="29" t="b">
        <v>1</v>
      </c>
      <c r="AQ163" s="4" t="n">
        <v>0</v>
      </c>
      <c r="AR163" s="47" t="inlineStr">
        <is>
          <t>No Match Found</t>
        </is>
      </c>
      <c r="AS163" s="47" t="inlineStr">
        <is>
          <t>NA</t>
        </is>
      </c>
      <c r="AT163" s="4" t="n">
        <v>0</v>
      </c>
      <c r="AU163" s="4" t="n">
        <v>0</v>
      </c>
      <c r="AV163" s="47" t="inlineStr">
        <is>
          <t>No Match Found</t>
        </is>
      </c>
      <c r="AW163" s="47" t="inlineStr">
        <is>
          <t>NA</t>
        </is>
      </c>
      <c r="AX163" s="4" t="n">
        <v>0</v>
      </c>
      <c r="AY163" s="47" t="inlineStr">
        <is>
          <t>No Match Found</t>
        </is>
      </c>
      <c r="AZ163" s="47" t="inlineStr">
        <is>
          <t>NA</t>
        </is>
      </c>
      <c r="BA163" s="4" t="n">
        <v>0</v>
      </c>
      <c r="BB163" s="4" t="n">
        <v>0</v>
      </c>
      <c r="BC163" s="4" t="n">
        <v>0</v>
      </c>
      <c r="BD163" s="4" t="n">
        <v>0</v>
      </c>
      <c r="BE163" s="47" t="inlineStr">
        <is>
          <t>No Match Found</t>
        </is>
      </c>
      <c r="BF163" s="47" t="inlineStr">
        <is>
          <t>NA</t>
        </is>
      </c>
      <c r="BG163" s="6" t="n">
        <v>0</v>
      </c>
      <c r="BH163" s="53" t="inlineStr">
        <is>
          <t>No Match Found</t>
        </is>
      </c>
      <c r="BI163" s="53" t="inlineStr">
        <is>
          <t>NA</t>
        </is>
      </c>
      <c r="BJ163" s="4" t="n">
        <v>0</v>
      </c>
      <c r="BK163" s="4" t="n">
        <v>0</v>
      </c>
    </row>
    <row r="164">
      <c r="A164" t="n">
        <v>58</v>
      </c>
      <c r="B164" s="1" t="n"/>
      <c r="C164" s="1" t="n"/>
      <c r="D164" s="1" t="inlineStr"/>
      <c r="E164" s="2" t="n">
        <v>22242</v>
      </c>
      <c r="F164" s="36" t="inlineStr">
        <is>
          <t>No Match Found</t>
        </is>
      </c>
      <c r="G164" s="36" t="inlineStr">
        <is>
          <t>NA</t>
        </is>
      </c>
      <c r="H164" s="24" t="n">
        <v>22242</v>
      </c>
      <c r="I164" s="24" t="b">
        <v>1</v>
      </c>
      <c r="J164" s="2" t="n">
        <v>43909</v>
      </c>
      <c r="K164" s="36" t="inlineStr">
        <is>
          <t>No Match Found</t>
        </is>
      </c>
      <c r="L164" s="36" t="inlineStr">
        <is>
          <t>NA</t>
        </is>
      </c>
      <c r="M164" s="24" t="n">
        <v>43909</v>
      </c>
      <c r="N164" s="24" t="b">
        <v>1</v>
      </c>
      <c r="O164" s="2" t="n">
        <v>44013</v>
      </c>
      <c r="P164" t="inlineStr">
        <is>
          <t>Processed</t>
        </is>
      </c>
      <c r="Q164" s="36" t="inlineStr">
        <is>
          <t>No Match Found</t>
        </is>
      </c>
      <c r="R164" s="36" t="inlineStr">
        <is>
          <t>NA</t>
        </is>
      </c>
      <c r="S164" s="24" t="n">
        <v>44013</v>
      </c>
      <c r="T164" s="24" t="b">
        <v>1</v>
      </c>
      <c r="U164" s="2" t="n">
        <v>44488</v>
      </c>
      <c r="V164" s="36" t="inlineStr">
        <is>
          <t>No Match Found</t>
        </is>
      </c>
      <c r="W164" s="36" t="inlineStr">
        <is>
          <t>NA</t>
        </is>
      </c>
      <c r="X164" s="24" t="n">
        <v>44488</v>
      </c>
      <c r="Y164" s="24" t="b">
        <v>1</v>
      </c>
      <c r="AA164" s="39" t="inlineStr">
        <is>
          <t>No Match Found</t>
        </is>
      </c>
      <c r="AB164" s="39" t="inlineStr">
        <is>
          <t>NA</t>
        </is>
      </c>
      <c r="AD164" s="27" t="b">
        <v>1</v>
      </c>
      <c r="AE164" s="1" t="inlineStr">
        <is>
          <t>X</t>
        </is>
      </c>
      <c r="AF164" s="1" t="inlineStr">
        <is>
          <t>N</t>
        </is>
      </c>
      <c r="AG164" s="3" t="n">
        <v>0</v>
      </c>
      <c r="AH164" s="1" t="inlineStr">
        <is>
          <t>N</t>
        </is>
      </c>
      <c r="AI164" s="1" t="inlineStr">
        <is>
          <t>N</t>
        </is>
      </c>
      <c r="AJ164" s="4" t="n">
        <v>2381.77</v>
      </c>
      <c r="AK164" s="5" t="n">
        <v>0</v>
      </c>
      <c r="AL164" s="41" t="inlineStr">
        <is>
          <t>No Match Found</t>
        </is>
      </c>
      <c r="AM164" s="41" t="inlineStr">
        <is>
          <t>NA</t>
        </is>
      </c>
      <c r="AN164" s="5" t="n">
        <v>1</v>
      </c>
      <c r="AO164" s="29" t="n">
        <v>1</v>
      </c>
      <c r="AP164" s="29" t="b">
        <v>1</v>
      </c>
      <c r="AQ164" s="4" t="n">
        <v>0</v>
      </c>
      <c r="AR164" s="47" t="inlineStr">
        <is>
          <t>No Match Found</t>
        </is>
      </c>
      <c r="AS164" s="47" t="inlineStr">
        <is>
          <t>NA</t>
        </is>
      </c>
      <c r="AT164" s="4" t="n">
        <v>0</v>
      </c>
      <c r="AU164" s="4" t="n">
        <v>0</v>
      </c>
      <c r="AV164" s="47" t="inlineStr">
        <is>
          <t>No Match Found</t>
        </is>
      </c>
      <c r="AW164" s="47" t="inlineStr">
        <is>
          <t>NA</t>
        </is>
      </c>
      <c r="AX164" s="4" t="n">
        <v>0</v>
      </c>
      <c r="AY164" s="47" t="inlineStr">
        <is>
          <t>No Match Found</t>
        </is>
      </c>
      <c r="AZ164" s="47" t="inlineStr">
        <is>
          <t>NA</t>
        </is>
      </c>
      <c r="BA164" s="4" t="n">
        <v>0</v>
      </c>
      <c r="BB164" s="4" t="n">
        <v>0</v>
      </c>
      <c r="BC164" s="4" t="n">
        <v>0</v>
      </c>
      <c r="BD164" s="4" t="n">
        <v>0</v>
      </c>
      <c r="BE164" s="47" t="inlineStr">
        <is>
          <t>No Match Found</t>
        </is>
      </c>
      <c r="BF164" s="47" t="inlineStr">
        <is>
          <t>NA</t>
        </is>
      </c>
      <c r="BG164" s="6" t="n">
        <v>0</v>
      </c>
      <c r="BH164" s="53" t="inlineStr">
        <is>
          <t>No Match Found</t>
        </is>
      </c>
      <c r="BI164" s="53" t="inlineStr">
        <is>
          <t>NA</t>
        </is>
      </c>
      <c r="BJ164" s="4" t="n">
        <v>0</v>
      </c>
      <c r="BK164" s="4" t="n">
        <v>0</v>
      </c>
    </row>
    <row r="165">
      <c r="A165" t="n">
        <v>59</v>
      </c>
      <c r="B165" s="1" t="n"/>
      <c r="C165" s="1" t="n"/>
      <c r="D165" s="1" t="inlineStr"/>
      <c r="E165" s="2" t="n">
        <v>24308</v>
      </c>
      <c r="F165" s="36" t="inlineStr">
        <is>
          <t>No Match Found</t>
        </is>
      </c>
      <c r="G165" s="36" t="inlineStr">
        <is>
          <t>NA</t>
        </is>
      </c>
      <c r="H165" s="24" t="n">
        <v>24308</v>
      </c>
      <c r="I165" s="24" t="b">
        <v>1</v>
      </c>
      <c r="J165" s="2" t="n">
        <v>44298</v>
      </c>
      <c r="K165" s="36" t="inlineStr">
        <is>
          <t>No Match Found</t>
        </is>
      </c>
      <c r="L165" s="36" t="inlineStr">
        <is>
          <t>NA</t>
        </is>
      </c>
      <c r="M165" s="24" t="n">
        <v>44298</v>
      </c>
      <c r="N165" s="24" t="b">
        <v>1</v>
      </c>
      <c r="O165" s="2" t="n">
        <v>44409</v>
      </c>
      <c r="P165" t="inlineStr">
        <is>
          <t>Processed</t>
        </is>
      </c>
      <c r="Q165" s="36" t="inlineStr">
        <is>
          <t>No Match Found</t>
        </is>
      </c>
      <c r="R165" s="36" t="inlineStr">
        <is>
          <t>NA</t>
        </is>
      </c>
      <c r="S165" s="24" t="n">
        <v>44409</v>
      </c>
      <c r="T165" s="24" t="b">
        <v>1</v>
      </c>
      <c r="U165" s="2" t="n">
        <v>44462</v>
      </c>
      <c r="V165" s="36" t="inlineStr">
        <is>
          <t>No Match Found</t>
        </is>
      </c>
      <c r="W165" s="36" t="inlineStr">
        <is>
          <t>NA</t>
        </is>
      </c>
      <c r="X165" s="24" t="n">
        <v>44462</v>
      </c>
      <c r="Y165" s="24" t="b">
        <v>1</v>
      </c>
      <c r="AA165" s="39" t="inlineStr">
        <is>
          <t>No Match Found</t>
        </is>
      </c>
      <c r="AB165" s="39" t="inlineStr">
        <is>
          <t>NA</t>
        </is>
      </c>
      <c r="AD165" s="27" t="b">
        <v>1</v>
      </c>
      <c r="AE165" s="1" t="inlineStr">
        <is>
          <t>X</t>
        </is>
      </c>
      <c r="AF165" s="1" t="inlineStr">
        <is>
          <t>N</t>
        </is>
      </c>
      <c r="AG165" s="3" t="n">
        <v>0</v>
      </c>
      <c r="AH165" s="1" t="inlineStr">
        <is>
          <t>N</t>
        </is>
      </c>
      <c r="AI165" s="1" t="inlineStr">
        <is>
          <t>N</t>
        </is>
      </c>
      <c r="AJ165" s="4" t="n">
        <v>0</v>
      </c>
      <c r="AK165" s="5" t="n">
        <v>0</v>
      </c>
      <c r="AL165" s="41" t="inlineStr">
        <is>
          <t>No Match Found</t>
        </is>
      </c>
      <c r="AM165" s="41" t="inlineStr">
        <is>
          <t>NA</t>
        </is>
      </c>
      <c r="AN165" s="5" t="n">
        <v>0</v>
      </c>
      <c r="AO165" s="29" t="n">
        <v>0</v>
      </c>
      <c r="AP165" s="29" t="b">
        <v>1</v>
      </c>
      <c r="AQ165" s="4" t="n">
        <v>0</v>
      </c>
      <c r="AR165" s="47" t="inlineStr">
        <is>
          <t>No Match Found</t>
        </is>
      </c>
      <c r="AS165" s="47" t="inlineStr">
        <is>
          <t>NA</t>
        </is>
      </c>
      <c r="AT165" s="4" t="n">
        <v>0</v>
      </c>
      <c r="AU165" s="4" t="n">
        <v>0</v>
      </c>
      <c r="AV165" s="47" t="inlineStr">
        <is>
          <t>No Match Found</t>
        </is>
      </c>
      <c r="AW165" s="47" t="inlineStr">
        <is>
          <t>NA</t>
        </is>
      </c>
      <c r="AX165" s="4" t="n">
        <v>0</v>
      </c>
      <c r="AY165" s="47" t="inlineStr">
        <is>
          <t>No Match Found</t>
        </is>
      </c>
      <c r="AZ165" s="47" t="inlineStr">
        <is>
          <t>NA</t>
        </is>
      </c>
      <c r="BA165" s="4" t="n">
        <v>0</v>
      </c>
      <c r="BB165" s="4" t="n">
        <v>0</v>
      </c>
      <c r="BC165" s="4" t="n">
        <v>0</v>
      </c>
      <c r="BD165" s="4" t="n">
        <v>0</v>
      </c>
      <c r="BE165" s="47" t="inlineStr">
        <is>
          <t>No Match Found</t>
        </is>
      </c>
      <c r="BF165" s="47" t="inlineStr">
        <is>
          <t>NA</t>
        </is>
      </c>
      <c r="BG165" s="6" t="n">
        <v>0</v>
      </c>
      <c r="BH165" s="53" t="inlineStr">
        <is>
          <t>No Match Found</t>
        </is>
      </c>
      <c r="BI165" s="53" t="inlineStr">
        <is>
          <t>NA</t>
        </is>
      </c>
      <c r="BJ165" s="4" t="n">
        <v>0</v>
      </c>
      <c r="BK165" s="4" t="n">
        <v>0</v>
      </c>
    </row>
    <row r="166">
      <c r="A166" t="n">
        <v>60</v>
      </c>
      <c r="B166" s="1" t="n"/>
      <c r="C166" s="1" t="n"/>
      <c r="D166" s="1" t="inlineStr"/>
      <c r="E166" s="2" t="n">
        <v>34950</v>
      </c>
      <c r="F166" s="36" t="inlineStr">
        <is>
          <t>No Match Found</t>
        </is>
      </c>
      <c r="G166" s="36" t="inlineStr">
        <is>
          <t>NA</t>
        </is>
      </c>
      <c r="H166" s="24" t="n">
        <v>34950</v>
      </c>
      <c r="I166" s="24" t="b">
        <v>1</v>
      </c>
      <c r="J166" s="2" t="n">
        <v>44316</v>
      </c>
      <c r="K166" s="36" t="inlineStr">
        <is>
          <t>No Match Found</t>
        </is>
      </c>
      <c r="L166" s="36" t="inlineStr">
        <is>
          <t>NA</t>
        </is>
      </c>
      <c r="M166" s="24" t="n">
        <v>44316</v>
      </c>
      <c r="N166" s="24" t="b">
        <v>1</v>
      </c>
      <c r="O166" s="2" t="n">
        <v>44409</v>
      </c>
      <c r="P166" t="inlineStr">
        <is>
          <t>Processed</t>
        </is>
      </c>
      <c r="Q166" s="36" t="inlineStr">
        <is>
          <t>No Match Found</t>
        </is>
      </c>
      <c r="R166" s="36" t="inlineStr">
        <is>
          <t>NA</t>
        </is>
      </c>
      <c r="S166" s="24" t="n">
        <v>44409</v>
      </c>
      <c r="T166" s="24" t="b">
        <v>1</v>
      </c>
      <c r="U166" s="2" t="n">
        <v>44453</v>
      </c>
      <c r="V166" s="36" t="inlineStr">
        <is>
          <t>No Match Found</t>
        </is>
      </c>
      <c r="W166" s="36" t="inlineStr">
        <is>
          <t>NA</t>
        </is>
      </c>
      <c r="X166" s="24" t="n">
        <v>44453</v>
      </c>
      <c r="Y166" s="24" t="b">
        <v>1</v>
      </c>
      <c r="AA166" s="39" t="inlineStr">
        <is>
          <t>No Match Found</t>
        </is>
      </c>
      <c r="AB166" s="39" t="inlineStr">
        <is>
          <t>NA</t>
        </is>
      </c>
      <c r="AD166" s="27" t="b">
        <v>1</v>
      </c>
      <c r="AE166" s="1" t="inlineStr">
        <is>
          <t>X</t>
        </is>
      </c>
      <c r="AF166" s="1" t="inlineStr">
        <is>
          <t>N</t>
        </is>
      </c>
      <c r="AG166" s="3" t="n">
        <v>0</v>
      </c>
      <c r="AH166" s="1" t="inlineStr">
        <is>
          <t>N</t>
        </is>
      </c>
      <c r="AI166" s="1" t="inlineStr">
        <is>
          <t>N</t>
        </is>
      </c>
      <c r="AJ166" s="4" t="n">
        <v>0</v>
      </c>
      <c r="AK166" s="5" t="n">
        <v>0</v>
      </c>
      <c r="AL166" s="41" t="inlineStr">
        <is>
          <t>No Match Found</t>
        </is>
      </c>
      <c r="AM166" s="41" t="inlineStr">
        <is>
          <t>NA</t>
        </is>
      </c>
      <c r="AN166" s="5" t="n">
        <v>0</v>
      </c>
      <c r="AO166" s="29" t="n">
        <v>0</v>
      </c>
      <c r="AP166" s="29" t="b">
        <v>1</v>
      </c>
      <c r="AQ166" s="4" t="n">
        <v>0</v>
      </c>
      <c r="AR166" s="47" t="inlineStr">
        <is>
          <t>No Match Found</t>
        </is>
      </c>
      <c r="AS166" s="47" t="inlineStr">
        <is>
          <t>NA</t>
        </is>
      </c>
      <c r="AT166" s="4" t="n">
        <v>0</v>
      </c>
      <c r="AU166" s="4" t="n">
        <v>0</v>
      </c>
      <c r="AV166" s="47" t="inlineStr">
        <is>
          <t>No Match Found</t>
        </is>
      </c>
      <c r="AW166" s="47" t="inlineStr">
        <is>
          <t>NA</t>
        </is>
      </c>
      <c r="AX166" s="4" t="n">
        <v>0</v>
      </c>
      <c r="AY166" s="47" t="inlineStr">
        <is>
          <t>No Match Found</t>
        </is>
      </c>
      <c r="AZ166" s="47" t="inlineStr">
        <is>
          <t>NA</t>
        </is>
      </c>
      <c r="BA166" s="4" t="n">
        <v>0</v>
      </c>
      <c r="BB166" s="4" t="n">
        <v>0</v>
      </c>
      <c r="BC166" s="4" t="n">
        <v>0</v>
      </c>
      <c r="BD166" s="4" t="n">
        <v>0</v>
      </c>
      <c r="BE166" s="47" t="inlineStr">
        <is>
          <t>No Match Found</t>
        </is>
      </c>
      <c r="BF166" s="47" t="inlineStr">
        <is>
          <t>NA</t>
        </is>
      </c>
      <c r="BG166" s="6" t="n">
        <v>0</v>
      </c>
      <c r="BH166" s="53" t="inlineStr">
        <is>
          <t>No Match Found</t>
        </is>
      </c>
      <c r="BI166" s="53" t="inlineStr">
        <is>
          <t>NA</t>
        </is>
      </c>
      <c r="BJ166" s="4" t="n">
        <v>0</v>
      </c>
      <c r="BK166" s="4" t="n">
        <v>0</v>
      </c>
    </row>
    <row r="167">
      <c r="A167" t="n">
        <v>61</v>
      </c>
      <c r="B167" s="1" t="n"/>
      <c r="C167" s="1" t="n"/>
      <c r="D167" s="1" t="inlineStr"/>
      <c r="E167" s="2" t="n">
        <v>34701</v>
      </c>
      <c r="F167" s="36" t="inlineStr">
        <is>
          <t>No Match Found</t>
        </is>
      </c>
      <c r="G167" s="36" t="inlineStr">
        <is>
          <t>NA</t>
        </is>
      </c>
      <c r="H167" s="24" t="n">
        <v>34701</v>
      </c>
      <c r="I167" s="24" t="b">
        <v>1</v>
      </c>
      <c r="J167" s="2" t="n">
        <v>44319</v>
      </c>
      <c r="K167" s="36" t="inlineStr">
        <is>
          <t>No Match Found</t>
        </is>
      </c>
      <c r="L167" s="36" t="inlineStr">
        <is>
          <t>NA</t>
        </is>
      </c>
      <c r="M167" s="24" t="n">
        <v>44319</v>
      </c>
      <c r="N167" s="24" t="b">
        <v>1</v>
      </c>
      <c r="O167" s="2" t="n">
        <v>44440</v>
      </c>
      <c r="P167" t="inlineStr">
        <is>
          <t>Processed</t>
        </is>
      </c>
      <c r="Q167" s="36" t="inlineStr">
        <is>
          <t>No Match Found</t>
        </is>
      </c>
      <c r="R167" s="36" t="inlineStr">
        <is>
          <t>NA</t>
        </is>
      </c>
      <c r="S167" s="24" t="n">
        <v>44440</v>
      </c>
      <c r="T167" s="24" t="b">
        <v>1</v>
      </c>
      <c r="U167" s="2" t="n">
        <v>45232</v>
      </c>
      <c r="V167" s="36" t="inlineStr">
        <is>
          <t>No Match Found</t>
        </is>
      </c>
      <c r="W167" s="36" t="inlineStr">
        <is>
          <t>NA</t>
        </is>
      </c>
      <c r="X167" s="24" t="n">
        <v>45232</v>
      </c>
      <c r="Y167" s="24" t="b">
        <v>1</v>
      </c>
      <c r="AA167" s="39" t="inlineStr">
        <is>
          <t>No Match Found</t>
        </is>
      </c>
      <c r="AB167" s="39" t="inlineStr">
        <is>
          <t>NA</t>
        </is>
      </c>
      <c r="AD167" s="27" t="b">
        <v>1</v>
      </c>
      <c r="AE167" s="1" t="inlineStr">
        <is>
          <t>X</t>
        </is>
      </c>
      <c r="AF167" s="1" t="inlineStr">
        <is>
          <t>N</t>
        </is>
      </c>
      <c r="AG167" s="3" t="n">
        <v>0</v>
      </c>
      <c r="AH167" s="1" t="inlineStr">
        <is>
          <t>N</t>
        </is>
      </c>
      <c r="AI167" s="1" t="inlineStr">
        <is>
          <t>N</t>
        </is>
      </c>
      <c r="AJ167" s="4" t="n">
        <v>16041.15</v>
      </c>
      <c r="AK167" s="5" t="n">
        <v>0</v>
      </c>
      <c r="AL167" s="41" t="inlineStr">
        <is>
          <t>No Match Found</t>
        </is>
      </c>
      <c r="AM167" s="41" t="inlineStr">
        <is>
          <t>NA</t>
        </is>
      </c>
      <c r="AN167" s="5" t="n">
        <v>3</v>
      </c>
      <c r="AO167" s="29" t="n">
        <v>3</v>
      </c>
      <c r="AP167" s="29" t="b">
        <v>1</v>
      </c>
      <c r="AQ167" s="4" t="n">
        <v>0</v>
      </c>
      <c r="AR167" s="47" t="inlineStr">
        <is>
          <t>No Match Found</t>
        </is>
      </c>
      <c r="AS167" s="47" t="inlineStr">
        <is>
          <t>NA</t>
        </is>
      </c>
      <c r="AT167" s="4" t="n">
        <v>0</v>
      </c>
      <c r="AU167" s="4" t="n">
        <v>0</v>
      </c>
      <c r="AV167" s="47" t="inlineStr">
        <is>
          <t>No Match Found</t>
        </is>
      </c>
      <c r="AW167" s="47" t="inlineStr">
        <is>
          <t>NA</t>
        </is>
      </c>
      <c r="AX167" s="4" t="n">
        <v>0</v>
      </c>
      <c r="AY167" s="47" t="inlineStr">
        <is>
          <t>No Match Found</t>
        </is>
      </c>
      <c r="AZ167" s="47" t="inlineStr">
        <is>
          <t>NA</t>
        </is>
      </c>
      <c r="BA167" s="4" t="n">
        <v>0</v>
      </c>
      <c r="BB167" s="4" t="n">
        <v>0</v>
      </c>
      <c r="BC167" s="4" t="n">
        <v>0</v>
      </c>
      <c r="BD167" s="4" t="n">
        <v>0</v>
      </c>
      <c r="BE167" s="47" t="inlineStr">
        <is>
          <t>No Match Found</t>
        </is>
      </c>
      <c r="BF167" s="47" t="inlineStr">
        <is>
          <t>NA</t>
        </is>
      </c>
      <c r="BG167" s="6" t="n">
        <v>0</v>
      </c>
      <c r="BH167" s="53" t="inlineStr">
        <is>
          <t>No Match Found</t>
        </is>
      </c>
      <c r="BI167" s="53" t="inlineStr">
        <is>
          <t>NA</t>
        </is>
      </c>
      <c r="BJ167" s="4" t="n">
        <v>0</v>
      </c>
      <c r="BK167" s="4" t="n">
        <v>0</v>
      </c>
    </row>
    <row r="168">
      <c r="A168" t="n">
        <v>62</v>
      </c>
      <c r="B168" s="1" t="n"/>
      <c r="C168" s="1" t="n"/>
      <c r="D168" s="1" t="inlineStr"/>
      <c r="E168" s="2" t="n">
        <v>36257</v>
      </c>
      <c r="F168" s="36" t="inlineStr">
        <is>
          <t>No Match Found</t>
        </is>
      </c>
      <c r="G168" s="36" t="inlineStr">
        <is>
          <t>NA</t>
        </is>
      </c>
      <c r="H168" s="24" t="n">
        <v>36257</v>
      </c>
      <c r="I168" s="24" t="b">
        <v>1</v>
      </c>
      <c r="J168" s="2" t="n">
        <v>44412</v>
      </c>
      <c r="K168" s="36" t="inlineStr">
        <is>
          <t>No Match Found</t>
        </is>
      </c>
      <c r="L168" s="36" t="inlineStr">
        <is>
          <t>NA</t>
        </is>
      </c>
      <c r="M168" s="24" t="n">
        <v>44412</v>
      </c>
      <c r="N168" s="24" t="b">
        <v>1</v>
      </c>
      <c r="O168" s="2" t="n">
        <v>44531</v>
      </c>
      <c r="P168" t="inlineStr">
        <is>
          <t>Processed</t>
        </is>
      </c>
      <c r="Q168" s="36" t="inlineStr">
        <is>
          <t>No Match Found</t>
        </is>
      </c>
      <c r="R168" s="36" t="inlineStr">
        <is>
          <t>NA</t>
        </is>
      </c>
      <c r="S168" s="24" t="n">
        <v>44531</v>
      </c>
      <c r="T168" s="24" t="b">
        <v>1</v>
      </c>
      <c r="U168" s="2" t="n">
        <v>44566</v>
      </c>
      <c r="V168" s="36" t="inlineStr">
        <is>
          <t>No Match Found</t>
        </is>
      </c>
      <c r="W168" s="36" t="inlineStr">
        <is>
          <t>NA</t>
        </is>
      </c>
      <c r="X168" s="24" t="n">
        <v>44566</v>
      </c>
      <c r="Y168" s="24" t="b">
        <v>1</v>
      </c>
      <c r="AA168" s="39" t="inlineStr">
        <is>
          <t>No Match Found</t>
        </is>
      </c>
      <c r="AB168" s="39" t="inlineStr">
        <is>
          <t>NA</t>
        </is>
      </c>
      <c r="AD168" s="27" t="b">
        <v>1</v>
      </c>
      <c r="AE168" s="1" t="inlineStr">
        <is>
          <t>X</t>
        </is>
      </c>
      <c r="AF168" s="1" t="inlineStr">
        <is>
          <t>N</t>
        </is>
      </c>
      <c r="AG168" s="3" t="n">
        <v>0</v>
      </c>
      <c r="AH168" s="1" t="inlineStr">
        <is>
          <t>N</t>
        </is>
      </c>
      <c r="AI168" s="1" t="inlineStr">
        <is>
          <t>N</t>
        </is>
      </c>
      <c r="AJ168" s="4" t="n">
        <v>0</v>
      </c>
      <c r="AK168" s="5" t="n">
        <v>0</v>
      </c>
      <c r="AL168" s="41" t="inlineStr">
        <is>
          <t>No Match Found</t>
        </is>
      </c>
      <c r="AM168" s="41" t="inlineStr">
        <is>
          <t>NA</t>
        </is>
      </c>
      <c r="AN168" s="5" t="n">
        <v>0</v>
      </c>
      <c r="AO168" s="29" t="n">
        <v>0</v>
      </c>
      <c r="AP168" s="29" t="b">
        <v>1</v>
      </c>
      <c r="AQ168" s="4" t="n">
        <v>0</v>
      </c>
      <c r="AR168" s="47" t="inlineStr">
        <is>
          <t>No Match Found</t>
        </is>
      </c>
      <c r="AS168" s="47" t="inlineStr">
        <is>
          <t>NA</t>
        </is>
      </c>
      <c r="AT168" s="4" t="n">
        <v>0</v>
      </c>
      <c r="AU168" s="4" t="n">
        <v>0</v>
      </c>
      <c r="AV168" s="47" t="inlineStr">
        <is>
          <t>No Match Found</t>
        </is>
      </c>
      <c r="AW168" s="47" t="inlineStr">
        <is>
          <t>NA</t>
        </is>
      </c>
      <c r="AX168" s="4" t="n">
        <v>0</v>
      </c>
      <c r="AY168" s="47" t="inlineStr">
        <is>
          <t>No Match Found</t>
        </is>
      </c>
      <c r="AZ168" s="47" t="inlineStr">
        <is>
          <t>NA</t>
        </is>
      </c>
      <c r="BA168" s="4" t="n">
        <v>0</v>
      </c>
      <c r="BB168" s="4" t="n">
        <v>0</v>
      </c>
      <c r="BC168" s="4" t="n">
        <v>0</v>
      </c>
      <c r="BD168" s="4" t="n">
        <v>0</v>
      </c>
      <c r="BE168" s="47" t="inlineStr">
        <is>
          <t>No Match Found</t>
        </is>
      </c>
      <c r="BF168" s="47" t="inlineStr">
        <is>
          <t>NA</t>
        </is>
      </c>
      <c r="BG168" s="6" t="n">
        <v>0</v>
      </c>
      <c r="BH168" s="53" t="inlineStr">
        <is>
          <t>No Match Found</t>
        </is>
      </c>
      <c r="BI168" s="53" t="inlineStr">
        <is>
          <t>NA</t>
        </is>
      </c>
      <c r="BJ168" s="4" t="n">
        <v>0</v>
      </c>
      <c r="BK168" s="4" t="n">
        <v>0</v>
      </c>
    </row>
    <row r="169">
      <c r="A169" t="n">
        <v>63</v>
      </c>
      <c r="B169" s="1" t="n"/>
      <c r="C169" s="1" t="n"/>
      <c r="D169" s="1" t="inlineStr"/>
      <c r="E169" s="2" t="n">
        <v>35951</v>
      </c>
      <c r="F169" s="36" t="inlineStr">
        <is>
          <t>No Match Found</t>
        </is>
      </c>
      <c r="G169" s="36" t="inlineStr">
        <is>
          <t>NA</t>
        </is>
      </c>
      <c r="H169" s="24" t="n">
        <v>35951</v>
      </c>
      <c r="I169" s="24" t="b">
        <v>1</v>
      </c>
      <c r="J169" s="2" t="n">
        <v>44438</v>
      </c>
      <c r="K169" s="36" t="inlineStr">
        <is>
          <t>No Match Found</t>
        </is>
      </c>
      <c r="L169" s="36" t="inlineStr">
        <is>
          <t>NA</t>
        </is>
      </c>
      <c r="M169" s="24" t="n">
        <v>44438</v>
      </c>
      <c r="N169" s="24" t="b">
        <v>1</v>
      </c>
      <c r="O169" s="2" t="n">
        <v>44531</v>
      </c>
      <c r="P169" t="inlineStr">
        <is>
          <t>Processed</t>
        </is>
      </c>
      <c r="Q169" s="36" t="inlineStr">
        <is>
          <t>No Match Found</t>
        </is>
      </c>
      <c r="R169" s="36" t="inlineStr">
        <is>
          <t>NA</t>
        </is>
      </c>
      <c r="S169" s="24" t="n">
        <v>44531</v>
      </c>
      <c r="T169" s="24" t="b">
        <v>1</v>
      </c>
      <c r="U169" s="2" t="n">
        <v>45087</v>
      </c>
      <c r="V169" s="36" t="inlineStr">
        <is>
          <t>No Match Found</t>
        </is>
      </c>
      <c r="W169" s="36" t="inlineStr">
        <is>
          <t>NA</t>
        </is>
      </c>
      <c r="X169" s="24" t="n">
        <v>45087</v>
      </c>
      <c r="Y169" s="24" t="b">
        <v>1</v>
      </c>
      <c r="AA169" s="39" t="inlineStr">
        <is>
          <t>No Match Found</t>
        </is>
      </c>
      <c r="AB169" s="39" t="inlineStr">
        <is>
          <t>NA</t>
        </is>
      </c>
      <c r="AD169" s="27" t="b">
        <v>1</v>
      </c>
      <c r="AE169" s="1" t="inlineStr">
        <is>
          <t>X</t>
        </is>
      </c>
      <c r="AF169" s="1" t="inlineStr">
        <is>
          <t>N</t>
        </is>
      </c>
      <c r="AG169" s="3" t="n">
        <v>0</v>
      </c>
      <c r="AH169" s="1" t="inlineStr">
        <is>
          <t>N</t>
        </is>
      </c>
      <c r="AI169" s="1" t="inlineStr">
        <is>
          <t>N</t>
        </is>
      </c>
      <c r="AJ169" s="4" t="n">
        <v>5852.49</v>
      </c>
      <c r="AK169" s="5" t="n">
        <v>0</v>
      </c>
      <c r="AL169" s="41" t="inlineStr">
        <is>
          <t>No Match Found</t>
        </is>
      </c>
      <c r="AM169" s="41" t="inlineStr">
        <is>
          <t>NA</t>
        </is>
      </c>
      <c r="AN169" s="5" t="n">
        <v>1</v>
      </c>
      <c r="AO169" s="29" t="n">
        <v>1</v>
      </c>
      <c r="AP169" s="29" t="b">
        <v>1</v>
      </c>
      <c r="AQ169" s="4" t="n">
        <v>0</v>
      </c>
      <c r="AR169" s="47" t="inlineStr">
        <is>
          <t>No Match Found</t>
        </is>
      </c>
      <c r="AS169" s="47" t="inlineStr">
        <is>
          <t>NA</t>
        </is>
      </c>
      <c r="AT169" s="4" t="n">
        <v>0</v>
      </c>
      <c r="AU169" s="4" t="n">
        <v>0</v>
      </c>
      <c r="AV169" s="47" t="inlineStr">
        <is>
          <t>No Match Found</t>
        </is>
      </c>
      <c r="AW169" s="47" t="inlineStr">
        <is>
          <t>NA</t>
        </is>
      </c>
      <c r="AX169" s="4" t="n">
        <v>0</v>
      </c>
      <c r="AY169" s="47" t="inlineStr">
        <is>
          <t>No Match Found</t>
        </is>
      </c>
      <c r="AZ169" s="47" t="inlineStr">
        <is>
          <t>NA</t>
        </is>
      </c>
      <c r="BA169" s="4" t="n">
        <v>0</v>
      </c>
      <c r="BB169" s="4" t="n">
        <v>0</v>
      </c>
      <c r="BC169" s="4" t="n">
        <v>0</v>
      </c>
      <c r="BD169" s="4" t="n">
        <v>0</v>
      </c>
      <c r="BE169" s="47" t="inlineStr">
        <is>
          <t>No Match Found</t>
        </is>
      </c>
      <c r="BF169" s="47" t="inlineStr">
        <is>
          <t>NA</t>
        </is>
      </c>
      <c r="BG169" s="6" t="n">
        <v>0</v>
      </c>
      <c r="BH169" s="53" t="inlineStr">
        <is>
          <t>No Match Found</t>
        </is>
      </c>
      <c r="BI169" s="53" t="inlineStr">
        <is>
          <t>NA</t>
        </is>
      </c>
      <c r="BJ169" s="4" t="n">
        <v>0</v>
      </c>
      <c r="BK169" s="4" t="n">
        <v>0</v>
      </c>
    </row>
    <row r="170">
      <c r="A170" t="n">
        <v>64</v>
      </c>
      <c r="B170" s="1" t="n"/>
      <c r="C170" s="1" t="n"/>
      <c r="D170" s="1" t="inlineStr"/>
      <c r="E170" s="2" t="n">
        <v>26133</v>
      </c>
      <c r="F170" s="36" t="inlineStr">
        <is>
          <t>No Match Found</t>
        </is>
      </c>
      <c r="G170" s="36" t="inlineStr">
        <is>
          <t>NA</t>
        </is>
      </c>
      <c r="H170" s="24" t="n">
        <v>26133</v>
      </c>
      <c r="I170" s="24" t="b">
        <v>1</v>
      </c>
      <c r="J170" s="2" t="n">
        <v>44487</v>
      </c>
      <c r="K170" s="36" t="inlineStr">
        <is>
          <t>No Match Found</t>
        </is>
      </c>
      <c r="L170" s="36" t="inlineStr">
        <is>
          <t>NA</t>
        </is>
      </c>
      <c r="M170" s="24" t="n">
        <v>44487</v>
      </c>
      <c r="N170" s="24" t="b">
        <v>1</v>
      </c>
      <c r="O170" s="2" t="n">
        <v>44593</v>
      </c>
      <c r="P170" t="inlineStr">
        <is>
          <t>Processed</t>
        </is>
      </c>
      <c r="Q170" s="36" t="inlineStr">
        <is>
          <t>No Match Found</t>
        </is>
      </c>
      <c r="R170" s="36" t="inlineStr">
        <is>
          <t>NA</t>
        </is>
      </c>
      <c r="S170" s="24" t="n">
        <v>44593</v>
      </c>
      <c r="T170" s="24" t="b">
        <v>1</v>
      </c>
      <c r="U170" s="2" t="n">
        <v>45093</v>
      </c>
      <c r="V170" s="36" t="inlineStr">
        <is>
          <t>No Match Found</t>
        </is>
      </c>
      <c r="W170" s="36" t="inlineStr">
        <is>
          <t>NA</t>
        </is>
      </c>
      <c r="X170" s="24" t="n">
        <v>45093</v>
      </c>
      <c r="Y170" s="24" t="b">
        <v>1</v>
      </c>
      <c r="AA170" s="39" t="inlineStr">
        <is>
          <t>No Match Found</t>
        </is>
      </c>
      <c r="AB170" s="39" t="inlineStr">
        <is>
          <t>NA</t>
        </is>
      </c>
      <c r="AD170" s="27" t="b">
        <v>1</v>
      </c>
      <c r="AE170" s="1" t="inlineStr">
        <is>
          <t>X</t>
        </is>
      </c>
      <c r="AF170" s="1" t="inlineStr">
        <is>
          <t>N</t>
        </is>
      </c>
      <c r="AG170" s="3" t="n">
        <v>0</v>
      </c>
      <c r="AH170" s="1" t="inlineStr">
        <is>
          <t>N</t>
        </is>
      </c>
      <c r="AI170" s="1" t="inlineStr">
        <is>
          <t>N</t>
        </is>
      </c>
      <c r="AJ170" s="4" t="n">
        <v>5176.34</v>
      </c>
      <c r="AK170" s="5" t="n">
        <v>0</v>
      </c>
      <c r="AL170" s="41" t="inlineStr">
        <is>
          <t>No Match Found</t>
        </is>
      </c>
      <c r="AM170" s="41" t="inlineStr">
        <is>
          <t>NA</t>
        </is>
      </c>
      <c r="AN170" s="5" t="n">
        <v>1</v>
      </c>
      <c r="AO170" s="29" t="n">
        <v>1</v>
      </c>
      <c r="AP170" s="29" t="b">
        <v>1</v>
      </c>
      <c r="AQ170" s="4" t="n">
        <v>0</v>
      </c>
      <c r="AR170" s="47" t="inlineStr">
        <is>
          <t>No Match Found</t>
        </is>
      </c>
      <c r="AS170" s="47" t="inlineStr">
        <is>
          <t>NA</t>
        </is>
      </c>
      <c r="AT170" s="4" t="n">
        <v>0</v>
      </c>
      <c r="AU170" s="4" t="n">
        <v>0</v>
      </c>
      <c r="AV170" s="47" t="inlineStr">
        <is>
          <t>No Match Found</t>
        </is>
      </c>
      <c r="AW170" s="47" t="inlineStr">
        <is>
          <t>NA</t>
        </is>
      </c>
      <c r="AX170" s="4" t="n">
        <v>0</v>
      </c>
      <c r="AY170" s="47" t="inlineStr">
        <is>
          <t>No Match Found</t>
        </is>
      </c>
      <c r="AZ170" s="47" t="inlineStr">
        <is>
          <t>NA</t>
        </is>
      </c>
      <c r="BA170" s="4" t="n">
        <v>0</v>
      </c>
      <c r="BB170" s="4" t="n">
        <v>0</v>
      </c>
      <c r="BC170" s="4" t="n">
        <v>0</v>
      </c>
      <c r="BD170" s="4" t="n">
        <v>0</v>
      </c>
      <c r="BE170" s="47" t="inlineStr">
        <is>
          <t>No Match Found</t>
        </is>
      </c>
      <c r="BF170" s="47" t="inlineStr">
        <is>
          <t>NA</t>
        </is>
      </c>
      <c r="BG170" s="6" t="n">
        <v>0</v>
      </c>
      <c r="BH170" s="53" t="inlineStr">
        <is>
          <t>No Match Found</t>
        </is>
      </c>
      <c r="BI170" s="53" t="inlineStr">
        <is>
          <t>NA</t>
        </is>
      </c>
      <c r="BJ170" s="4" t="n">
        <v>0</v>
      </c>
      <c r="BK170" s="4" t="n">
        <v>0</v>
      </c>
    </row>
    <row r="171">
      <c r="A171" t="n">
        <v>65</v>
      </c>
      <c r="B171" s="1" t="n"/>
      <c r="C171" s="1" t="n"/>
      <c r="D171" s="1" t="inlineStr"/>
      <c r="E171" s="2" t="n">
        <v>38288</v>
      </c>
      <c r="F171" s="36" t="inlineStr">
        <is>
          <t>No Match Found</t>
        </is>
      </c>
      <c r="G171" s="36" t="inlineStr">
        <is>
          <t>NA</t>
        </is>
      </c>
      <c r="H171" s="24" t="n">
        <v>38288</v>
      </c>
      <c r="I171" s="24" t="b">
        <v>1</v>
      </c>
      <c r="J171" s="2" t="n">
        <v>44614</v>
      </c>
      <c r="K171" s="36" t="inlineStr">
        <is>
          <t>No Match Found</t>
        </is>
      </c>
      <c r="L171" s="36" t="inlineStr">
        <is>
          <t>NA</t>
        </is>
      </c>
      <c r="M171" s="24" t="n">
        <v>44614</v>
      </c>
      <c r="N171" s="24" t="b">
        <v>1</v>
      </c>
      <c r="O171" s="2" t="n">
        <v>44713</v>
      </c>
      <c r="P171" t="inlineStr">
        <is>
          <t>Processed</t>
        </is>
      </c>
      <c r="Q171" s="36" t="inlineStr">
        <is>
          <t>No Match Found</t>
        </is>
      </c>
      <c r="R171" s="36" t="inlineStr">
        <is>
          <t>NA</t>
        </is>
      </c>
      <c r="S171" s="24" t="n">
        <v>44713</v>
      </c>
      <c r="T171" s="24" t="b">
        <v>1</v>
      </c>
      <c r="U171" s="2" t="n">
        <v>44967</v>
      </c>
      <c r="V171" s="36" t="inlineStr">
        <is>
          <t>No Match Found</t>
        </is>
      </c>
      <c r="W171" s="36" t="inlineStr">
        <is>
          <t>NA</t>
        </is>
      </c>
      <c r="X171" s="24" t="n">
        <v>44967</v>
      </c>
      <c r="Y171" s="24" t="b">
        <v>1</v>
      </c>
      <c r="AA171" s="39" t="inlineStr">
        <is>
          <t>No Match Found</t>
        </is>
      </c>
      <c r="AB171" s="39" t="inlineStr">
        <is>
          <t>NA</t>
        </is>
      </c>
      <c r="AD171" s="27" t="b">
        <v>1</v>
      </c>
      <c r="AE171" s="1" t="inlineStr">
        <is>
          <t>X</t>
        </is>
      </c>
      <c r="AF171" s="1" t="inlineStr">
        <is>
          <t>N</t>
        </is>
      </c>
      <c r="AG171" s="3" t="n">
        <v>0</v>
      </c>
      <c r="AH171" s="1" t="inlineStr">
        <is>
          <t>N</t>
        </is>
      </c>
      <c r="AI171" s="1" t="inlineStr">
        <is>
          <t>N</t>
        </is>
      </c>
      <c r="AJ171" s="4" t="n">
        <v>0</v>
      </c>
      <c r="AK171" s="5" t="n">
        <v>0</v>
      </c>
      <c r="AL171" s="41" t="inlineStr">
        <is>
          <t>No Match Found</t>
        </is>
      </c>
      <c r="AM171" s="41" t="inlineStr">
        <is>
          <t>NA</t>
        </is>
      </c>
      <c r="AN171" s="5" t="n">
        <v>2</v>
      </c>
      <c r="AO171" s="29" t="n">
        <v>1</v>
      </c>
      <c r="AP171" s="29" t="b">
        <v>1</v>
      </c>
      <c r="AQ171" s="4" t="n">
        <v>0</v>
      </c>
      <c r="AR171" s="47" t="inlineStr">
        <is>
          <t>No Match Found</t>
        </is>
      </c>
      <c r="AS171" s="47" t="inlineStr">
        <is>
          <t>NA</t>
        </is>
      </c>
      <c r="AT171" s="4" t="n">
        <v>0</v>
      </c>
      <c r="AU171" s="4" t="n">
        <v>0</v>
      </c>
      <c r="AV171" s="47" t="inlineStr">
        <is>
          <t>No Match Found</t>
        </is>
      </c>
      <c r="AW171" s="47" t="inlineStr">
        <is>
          <t>NA</t>
        </is>
      </c>
      <c r="AX171" s="4" t="n">
        <v>0</v>
      </c>
      <c r="AY171" s="47" t="inlineStr">
        <is>
          <t>No Match Found</t>
        </is>
      </c>
      <c r="AZ171" s="47" t="inlineStr">
        <is>
          <t>NA</t>
        </is>
      </c>
      <c r="BA171" s="4" t="n">
        <v>0</v>
      </c>
      <c r="BB171" s="4" t="n">
        <v>0</v>
      </c>
      <c r="BC171" s="4" t="n">
        <v>0</v>
      </c>
      <c r="BD171" s="4" t="n">
        <v>0</v>
      </c>
      <c r="BE171" s="47" t="inlineStr">
        <is>
          <t>No Match Found</t>
        </is>
      </c>
      <c r="BF171" s="47" t="inlineStr">
        <is>
          <t>NA</t>
        </is>
      </c>
      <c r="BG171" s="6" t="n">
        <v>0</v>
      </c>
      <c r="BH171" s="53" t="inlineStr">
        <is>
          <t>No Match Found</t>
        </is>
      </c>
      <c r="BI171" s="53" t="inlineStr">
        <is>
          <t>NA</t>
        </is>
      </c>
      <c r="BJ171" s="4" t="n">
        <v>0</v>
      </c>
      <c r="BK171" s="4" t="n">
        <v>0</v>
      </c>
    </row>
    <row r="172">
      <c r="A172" t="n">
        <v>66</v>
      </c>
      <c r="B172" s="1" t="n"/>
      <c r="C172" s="1" t="n"/>
      <c r="D172" s="1" t="inlineStr"/>
      <c r="E172" s="2" t="n">
        <v>37144</v>
      </c>
      <c r="F172" s="36" t="inlineStr">
        <is>
          <t>No Match Found</t>
        </is>
      </c>
      <c r="G172" s="36" t="inlineStr">
        <is>
          <t>NA</t>
        </is>
      </c>
      <c r="H172" s="24" t="n">
        <v>37144</v>
      </c>
      <c r="I172" s="24" t="b">
        <v>1</v>
      </c>
      <c r="J172" s="2" t="n">
        <v>44614</v>
      </c>
      <c r="K172" s="36" t="inlineStr">
        <is>
          <t>No Match Found</t>
        </is>
      </c>
      <c r="L172" s="36" t="inlineStr">
        <is>
          <t>NA</t>
        </is>
      </c>
      <c r="M172" s="24" t="n">
        <v>44614</v>
      </c>
      <c r="N172" s="24" t="b">
        <v>1</v>
      </c>
      <c r="O172" s="2" t="n">
        <v>44713</v>
      </c>
      <c r="P172" t="inlineStr">
        <is>
          <t>Processed</t>
        </is>
      </c>
      <c r="Q172" s="36" t="inlineStr">
        <is>
          <t>No Match Found</t>
        </is>
      </c>
      <c r="R172" s="36" t="inlineStr">
        <is>
          <t>NA</t>
        </is>
      </c>
      <c r="S172" s="24" t="n">
        <v>44713</v>
      </c>
      <c r="T172" s="24" t="b">
        <v>1</v>
      </c>
      <c r="U172" s="2" t="n">
        <v>44868</v>
      </c>
      <c r="V172" s="36" t="inlineStr">
        <is>
          <t>No Match Found</t>
        </is>
      </c>
      <c r="W172" s="36" t="inlineStr">
        <is>
          <t>NA</t>
        </is>
      </c>
      <c r="X172" s="24" t="n">
        <v>44868</v>
      </c>
      <c r="Y172" s="24" t="b">
        <v>1</v>
      </c>
      <c r="AA172" s="39" t="inlineStr">
        <is>
          <t>No Match Found</t>
        </is>
      </c>
      <c r="AB172" s="39" t="inlineStr">
        <is>
          <t>NA</t>
        </is>
      </c>
      <c r="AD172" s="27" t="b">
        <v>1</v>
      </c>
      <c r="AE172" s="1" t="inlineStr">
        <is>
          <t>X</t>
        </is>
      </c>
      <c r="AF172" s="1" t="inlineStr">
        <is>
          <t>N</t>
        </is>
      </c>
      <c r="AG172" s="3" t="n">
        <v>0</v>
      </c>
      <c r="AH172" s="1" t="inlineStr">
        <is>
          <t>N</t>
        </is>
      </c>
      <c r="AI172" s="1" t="inlineStr">
        <is>
          <t>N</t>
        </is>
      </c>
      <c r="AJ172" s="4" t="n">
        <v>0</v>
      </c>
      <c r="AK172" s="5" t="n">
        <v>0</v>
      </c>
      <c r="AL172" s="41" t="inlineStr">
        <is>
          <t>No Match Found</t>
        </is>
      </c>
      <c r="AM172" s="41" t="inlineStr">
        <is>
          <t>NA</t>
        </is>
      </c>
      <c r="AN172" s="5" t="n">
        <v>1</v>
      </c>
      <c r="AO172" s="29" t="n">
        <v>1</v>
      </c>
      <c r="AP172" s="29" t="b">
        <v>1</v>
      </c>
      <c r="AQ172" s="4" t="n">
        <v>0</v>
      </c>
      <c r="AR172" s="47" t="inlineStr">
        <is>
          <t>No Match Found</t>
        </is>
      </c>
      <c r="AS172" s="47" t="inlineStr">
        <is>
          <t>NA</t>
        </is>
      </c>
      <c r="AT172" s="4" t="n">
        <v>0</v>
      </c>
      <c r="AU172" s="4" t="n">
        <v>0</v>
      </c>
      <c r="AV172" s="47" t="inlineStr">
        <is>
          <t>No Match Found</t>
        </is>
      </c>
      <c r="AW172" s="47" t="inlineStr">
        <is>
          <t>NA</t>
        </is>
      </c>
      <c r="AX172" s="4" t="n">
        <v>0</v>
      </c>
      <c r="AY172" s="47" t="inlineStr">
        <is>
          <t>No Match Found</t>
        </is>
      </c>
      <c r="AZ172" s="47" t="inlineStr">
        <is>
          <t>NA</t>
        </is>
      </c>
      <c r="BA172" s="4" t="n">
        <v>0</v>
      </c>
      <c r="BB172" s="4" t="n">
        <v>0</v>
      </c>
      <c r="BC172" s="4" t="n">
        <v>0</v>
      </c>
      <c r="BD172" s="4" t="n">
        <v>0</v>
      </c>
      <c r="BE172" s="47" t="inlineStr">
        <is>
          <t>No Match Found</t>
        </is>
      </c>
      <c r="BF172" s="47" t="inlineStr">
        <is>
          <t>NA</t>
        </is>
      </c>
      <c r="BG172" s="6" t="n">
        <v>0</v>
      </c>
      <c r="BH172" s="53" t="inlineStr">
        <is>
          <t>No Match Found</t>
        </is>
      </c>
      <c r="BI172" s="53" t="inlineStr">
        <is>
          <t>NA</t>
        </is>
      </c>
      <c r="BJ172" s="4" t="n">
        <v>0</v>
      </c>
      <c r="BK172" s="4" t="n">
        <v>0</v>
      </c>
    </row>
    <row r="173">
      <c r="A173" t="n">
        <v>67</v>
      </c>
      <c r="B173" s="1" t="n"/>
      <c r="C173" s="1" t="n"/>
      <c r="D173" s="1" t="inlineStr"/>
      <c r="E173" s="2" t="n">
        <v>31058</v>
      </c>
      <c r="F173" s="36" t="inlineStr">
        <is>
          <t>No Match Found</t>
        </is>
      </c>
      <c r="G173" s="36" t="inlineStr">
        <is>
          <t>NA</t>
        </is>
      </c>
      <c r="H173" s="24" t="n">
        <v>31058</v>
      </c>
      <c r="I173" s="24" t="b">
        <v>1</v>
      </c>
      <c r="J173" s="2" t="n">
        <v>44641</v>
      </c>
      <c r="K173" s="36" t="inlineStr">
        <is>
          <t>No Match Found</t>
        </is>
      </c>
      <c r="L173" s="36" t="inlineStr">
        <is>
          <t>NA</t>
        </is>
      </c>
      <c r="M173" s="24" t="n">
        <v>44641</v>
      </c>
      <c r="N173" s="24" t="b">
        <v>1</v>
      </c>
      <c r="O173" s="2" t="n">
        <v>44641</v>
      </c>
      <c r="P173" t="inlineStr">
        <is>
          <t>Processed</t>
        </is>
      </c>
      <c r="Q173" s="36" t="inlineStr">
        <is>
          <t>No Match Found</t>
        </is>
      </c>
      <c r="R173" s="36" t="inlineStr">
        <is>
          <t>NA</t>
        </is>
      </c>
      <c r="S173" s="24" t="n">
        <v>44641</v>
      </c>
      <c r="T173" s="24" t="b">
        <v>1</v>
      </c>
      <c r="U173" s="2" t="n">
        <v>44875</v>
      </c>
      <c r="V173" s="36" t="inlineStr">
        <is>
          <t>No Match Found</t>
        </is>
      </c>
      <c r="W173" s="36" t="inlineStr">
        <is>
          <t>NA</t>
        </is>
      </c>
      <c r="X173" s="24" t="n">
        <v>44875</v>
      </c>
      <c r="Y173" s="24" t="b">
        <v>1</v>
      </c>
      <c r="AA173" s="39" t="inlineStr">
        <is>
          <t>No Match Found</t>
        </is>
      </c>
      <c r="AB173" s="39" t="inlineStr">
        <is>
          <t>NA</t>
        </is>
      </c>
      <c r="AD173" s="27" t="b">
        <v>1</v>
      </c>
      <c r="AE173" s="1" t="inlineStr">
        <is>
          <t>X</t>
        </is>
      </c>
      <c r="AF173" s="1" t="inlineStr">
        <is>
          <t>N</t>
        </is>
      </c>
      <c r="AG173" s="3" t="n">
        <v>0</v>
      </c>
      <c r="AH173" s="1" t="inlineStr">
        <is>
          <t>N</t>
        </is>
      </c>
      <c r="AI173" s="1" t="inlineStr">
        <is>
          <t>N</t>
        </is>
      </c>
      <c r="AJ173" s="4" t="n">
        <v>8554.91</v>
      </c>
      <c r="AK173" s="5" t="n">
        <v>0</v>
      </c>
      <c r="AL173" s="41" t="inlineStr">
        <is>
          <t>No Match Found</t>
        </is>
      </c>
      <c r="AM173" s="41" t="inlineStr">
        <is>
          <t>NA</t>
        </is>
      </c>
      <c r="AN173" s="5" t="n">
        <v>4</v>
      </c>
      <c r="AO173" s="29" t="n">
        <v>4</v>
      </c>
      <c r="AP173" s="29" t="b">
        <v>1</v>
      </c>
      <c r="AQ173" s="4" t="n">
        <v>0</v>
      </c>
      <c r="AR173" s="47" t="inlineStr">
        <is>
          <t>No Match Found</t>
        </is>
      </c>
      <c r="AS173" s="47" t="inlineStr">
        <is>
          <t>NA</t>
        </is>
      </c>
      <c r="AT173" s="4" t="n">
        <v>0</v>
      </c>
      <c r="AU173" s="4" t="n">
        <v>0</v>
      </c>
      <c r="AV173" s="47" t="inlineStr">
        <is>
          <t>No Match Found</t>
        </is>
      </c>
      <c r="AW173" s="47" t="inlineStr">
        <is>
          <t>NA</t>
        </is>
      </c>
      <c r="AX173" s="4" t="n">
        <v>0</v>
      </c>
      <c r="AY173" s="47" t="inlineStr">
        <is>
          <t>No Match Found</t>
        </is>
      </c>
      <c r="AZ173" s="47" t="inlineStr">
        <is>
          <t>NA</t>
        </is>
      </c>
      <c r="BA173" s="4" t="n">
        <v>0</v>
      </c>
      <c r="BB173" s="4" t="n">
        <v>0</v>
      </c>
      <c r="BC173" s="4" t="n">
        <v>0</v>
      </c>
      <c r="BD173" s="4" t="n">
        <v>0</v>
      </c>
      <c r="BE173" s="47" t="inlineStr">
        <is>
          <t>No Match Found</t>
        </is>
      </c>
      <c r="BF173" s="47" t="inlineStr">
        <is>
          <t>NA</t>
        </is>
      </c>
      <c r="BG173" s="6" t="n">
        <v>0</v>
      </c>
      <c r="BH173" s="53" t="inlineStr">
        <is>
          <t>No Match Found</t>
        </is>
      </c>
      <c r="BI173" s="53" t="inlineStr">
        <is>
          <t>NA</t>
        </is>
      </c>
      <c r="BJ173" s="4" t="n">
        <v>0</v>
      </c>
      <c r="BK173" s="4" t="n">
        <v>0</v>
      </c>
    </row>
    <row r="174">
      <c r="A174" t="n">
        <v>68</v>
      </c>
      <c r="B174" s="1" t="n"/>
      <c r="C174" s="1" t="n"/>
      <c r="D174" s="1" t="inlineStr"/>
      <c r="E174" s="2" t="n">
        <v>32818</v>
      </c>
      <c r="F174" s="36" t="inlineStr">
        <is>
          <t>No Match Found</t>
        </is>
      </c>
      <c r="G174" s="36" t="inlineStr">
        <is>
          <t>NA</t>
        </is>
      </c>
      <c r="H174" s="24" t="n">
        <v>32818</v>
      </c>
      <c r="I174" s="24" t="b">
        <v>1</v>
      </c>
      <c r="J174" s="2" t="n">
        <v>44655</v>
      </c>
      <c r="K174" s="36" t="inlineStr">
        <is>
          <t>No Match Found</t>
        </is>
      </c>
      <c r="L174" s="36" t="inlineStr">
        <is>
          <t>NA</t>
        </is>
      </c>
      <c r="M174" s="24" t="n">
        <v>44655</v>
      </c>
      <c r="N174" s="24" t="b">
        <v>1</v>
      </c>
      <c r="O174" s="2" t="n">
        <v>44774</v>
      </c>
      <c r="P174" t="inlineStr">
        <is>
          <t>Processed</t>
        </is>
      </c>
      <c r="Q174" s="36" t="inlineStr">
        <is>
          <t>No Match Found</t>
        </is>
      </c>
      <c r="R174" s="36" t="inlineStr">
        <is>
          <t>NA</t>
        </is>
      </c>
      <c r="S174" s="24" t="n">
        <v>44774</v>
      </c>
      <c r="T174" s="24" t="b">
        <v>1</v>
      </c>
      <c r="U174" s="2" t="n">
        <v>44897</v>
      </c>
      <c r="V174" s="36" t="inlineStr">
        <is>
          <t>No Match Found</t>
        </is>
      </c>
      <c r="W174" s="36" t="inlineStr">
        <is>
          <t>NA</t>
        </is>
      </c>
      <c r="X174" s="24" t="n">
        <v>44897</v>
      </c>
      <c r="Y174" s="24" t="b">
        <v>1</v>
      </c>
      <c r="AA174" s="39" t="inlineStr">
        <is>
          <t>No Match Found</t>
        </is>
      </c>
      <c r="AB174" s="39" t="inlineStr">
        <is>
          <t>NA</t>
        </is>
      </c>
      <c r="AD174" s="27" t="b">
        <v>1</v>
      </c>
      <c r="AE174" s="1" t="inlineStr">
        <is>
          <t>X</t>
        </is>
      </c>
      <c r="AF174" s="1" t="inlineStr">
        <is>
          <t>N</t>
        </is>
      </c>
      <c r="AG174" s="3" t="n">
        <v>0</v>
      </c>
      <c r="AH174" s="1" t="inlineStr">
        <is>
          <t>N</t>
        </is>
      </c>
      <c r="AI174" s="1" t="inlineStr">
        <is>
          <t>N</t>
        </is>
      </c>
      <c r="AJ174" s="4" t="n">
        <v>626.25</v>
      </c>
      <c r="AK174" s="5" t="n">
        <v>0</v>
      </c>
      <c r="AL174" s="41" t="inlineStr">
        <is>
          <t>No Match Found</t>
        </is>
      </c>
      <c r="AM174" s="41" t="inlineStr">
        <is>
          <t>NA</t>
        </is>
      </c>
      <c r="AN174" s="5" t="n">
        <v>0</v>
      </c>
      <c r="AO174" s="29" t="n">
        <v>0</v>
      </c>
      <c r="AP174" s="29" t="b">
        <v>1</v>
      </c>
      <c r="AQ174" s="4" t="n">
        <v>0</v>
      </c>
      <c r="AR174" s="47" t="inlineStr">
        <is>
          <t>No Match Found</t>
        </is>
      </c>
      <c r="AS174" s="47" t="inlineStr">
        <is>
          <t>NA</t>
        </is>
      </c>
      <c r="AT174" s="4" t="n">
        <v>0</v>
      </c>
      <c r="AU174" s="4" t="n">
        <v>0</v>
      </c>
      <c r="AV174" s="47" t="inlineStr">
        <is>
          <t>No Match Found</t>
        </is>
      </c>
      <c r="AW174" s="47" t="inlineStr">
        <is>
          <t>NA</t>
        </is>
      </c>
      <c r="AX174" s="4" t="n">
        <v>0</v>
      </c>
      <c r="AY174" s="47" t="inlineStr">
        <is>
          <t>No Match Found</t>
        </is>
      </c>
      <c r="AZ174" s="47" t="inlineStr">
        <is>
          <t>NA</t>
        </is>
      </c>
      <c r="BA174" s="4" t="n">
        <v>0</v>
      </c>
      <c r="BB174" s="4" t="n">
        <v>0</v>
      </c>
      <c r="BC174" s="4" t="n">
        <v>0</v>
      </c>
      <c r="BD174" s="4" t="n">
        <v>0</v>
      </c>
      <c r="BE174" s="47" t="inlineStr">
        <is>
          <t>No Match Found</t>
        </is>
      </c>
      <c r="BF174" s="47" t="inlineStr">
        <is>
          <t>NA</t>
        </is>
      </c>
      <c r="BG174" s="6" t="n">
        <v>0</v>
      </c>
      <c r="BH174" s="53" t="inlineStr">
        <is>
          <t>No Match Found</t>
        </is>
      </c>
      <c r="BI174" s="53" t="inlineStr">
        <is>
          <t>NA</t>
        </is>
      </c>
      <c r="BJ174" s="4" t="n">
        <v>0</v>
      </c>
      <c r="BK174" s="4" t="n">
        <v>0</v>
      </c>
    </row>
    <row r="175">
      <c r="A175" t="n">
        <v>69</v>
      </c>
      <c r="B175" s="1" t="n"/>
      <c r="C175" s="1" t="n"/>
      <c r="D175" s="1" t="inlineStr"/>
      <c r="E175" s="2" t="n">
        <v>37223</v>
      </c>
      <c r="F175" s="36" t="inlineStr">
        <is>
          <t>No Match Found</t>
        </is>
      </c>
      <c r="G175" s="36" t="inlineStr">
        <is>
          <t>NA</t>
        </is>
      </c>
      <c r="H175" s="24" t="n">
        <v>37223</v>
      </c>
      <c r="I175" s="24" t="b">
        <v>1</v>
      </c>
      <c r="J175" s="2" t="n">
        <v>44725</v>
      </c>
      <c r="K175" s="36" t="inlineStr">
        <is>
          <t>No Match Found</t>
        </is>
      </c>
      <c r="L175" s="36" t="inlineStr">
        <is>
          <t>NA</t>
        </is>
      </c>
      <c r="M175" s="24" t="n">
        <v>44725</v>
      </c>
      <c r="N175" s="24" t="b">
        <v>1</v>
      </c>
      <c r="O175" s="2" t="n">
        <v>44835</v>
      </c>
      <c r="P175" t="inlineStr">
        <is>
          <t>Processed</t>
        </is>
      </c>
      <c r="Q175" s="36" t="inlineStr">
        <is>
          <t>No Match Found</t>
        </is>
      </c>
      <c r="R175" s="36" t="inlineStr">
        <is>
          <t>NA</t>
        </is>
      </c>
      <c r="S175" s="24" t="n">
        <v>44835</v>
      </c>
      <c r="T175" s="24" t="b">
        <v>1</v>
      </c>
      <c r="U175" s="2" t="n">
        <v>45007</v>
      </c>
      <c r="V175" s="36" t="inlineStr">
        <is>
          <t>No Match Found</t>
        </is>
      </c>
      <c r="W175" s="36" t="inlineStr">
        <is>
          <t>NA</t>
        </is>
      </c>
      <c r="X175" s="24" t="n">
        <v>45007</v>
      </c>
      <c r="Y175" s="24" t="b">
        <v>1</v>
      </c>
      <c r="AA175" s="39" t="inlineStr">
        <is>
          <t>No Match Found</t>
        </is>
      </c>
      <c r="AB175" s="39" t="inlineStr">
        <is>
          <t>NA</t>
        </is>
      </c>
      <c r="AD175" s="27" t="b">
        <v>1</v>
      </c>
      <c r="AE175" s="1" t="inlineStr">
        <is>
          <t>X</t>
        </is>
      </c>
      <c r="AF175" s="1" t="inlineStr">
        <is>
          <t>N</t>
        </is>
      </c>
      <c r="AG175" s="3" t="n">
        <v>0</v>
      </c>
      <c r="AH175" s="1" t="inlineStr">
        <is>
          <t>N</t>
        </is>
      </c>
      <c r="AI175" s="1" t="inlineStr">
        <is>
          <t>N</t>
        </is>
      </c>
      <c r="AJ175" s="4" t="n">
        <v>0</v>
      </c>
      <c r="AK175" s="5" t="n">
        <v>0</v>
      </c>
      <c r="AL175" s="41" t="inlineStr">
        <is>
          <t>No Match Found</t>
        </is>
      </c>
      <c r="AM175" s="41" t="inlineStr">
        <is>
          <t>NA</t>
        </is>
      </c>
      <c r="AN175" s="5" t="n">
        <v>0</v>
      </c>
      <c r="AO175" s="29" t="n">
        <v>0</v>
      </c>
      <c r="AP175" s="29" t="b">
        <v>1</v>
      </c>
      <c r="AQ175" s="4" t="n">
        <v>0</v>
      </c>
      <c r="AR175" s="47" t="inlineStr">
        <is>
          <t>No Match Found</t>
        </is>
      </c>
      <c r="AS175" s="47" t="inlineStr">
        <is>
          <t>NA</t>
        </is>
      </c>
      <c r="AT175" s="4" t="n">
        <v>0</v>
      </c>
      <c r="AU175" s="4" t="n">
        <v>0</v>
      </c>
      <c r="AV175" s="47" t="inlineStr">
        <is>
          <t>No Match Found</t>
        </is>
      </c>
      <c r="AW175" s="47" t="inlineStr">
        <is>
          <t>NA</t>
        </is>
      </c>
      <c r="AX175" s="4" t="n">
        <v>0</v>
      </c>
      <c r="AY175" s="47" t="inlineStr">
        <is>
          <t>No Match Found</t>
        </is>
      </c>
      <c r="AZ175" s="47" t="inlineStr">
        <is>
          <t>NA</t>
        </is>
      </c>
      <c r="BA175" s="4" t="n">
        <v>0</v>
      </c>
      <c r="BB175" s="4" t="n">
        <v>0</v>
      </c>
      <c r="BC175" s="4" t="n">
        <v>0</v>
      </c>
      <c r="BD175" s="4" t="n">
        <v>0</v>
      </c>
      <c r="BE175" s="47" t="inlineStr">
        <is>
          <t>No Match Found</t>
        </is>
      </c>
      <c r="BF175" s="47" t="inlineStr">
        <is>
          <t>NA</t>
        </is>
      </c>
      <c r="BG175" s="6" t="n">
        <v>0</v>
      </c>
      <c r="BH175" s="53" t="inlineStr">
        <is>
          <t>No Match Found</t>
        </is>
      </c>
      <c r="BI175" s="53" t="inlineStr">
        <is>
          <t>NA</t>
        </is>
      </c>
      <c r="BJ175" s="4" t="n">
        <v>0</v>
      </c>
      <c r="BK175" s="4" t="n">
        <v>0</v>
      </c>
    </row>
    <row r="176">
      <c r="A176" t="n">
        <v>70</v>
      </c>
      <c r="B176" s="1" t="n"/>
      <c r="C176" s="1" t="n"/>
      <c r="D176" s="1" t="inlineStr"/>
      <c r="E176" s="2" t="n">
        <v>27690</v>
      </c>
      <c r="F176" s="36" t="inlineStr">
        <is>
          <t>No Match Found</t>
        </is>
      </c>
      <c r="G176" s="36" t="inlineStr">
        <is>
          <t>NA</t>
        </is>
      </c>
      <c r="H176" s="24" t="n">
        <v>27690</v>
      </c>
      <c r="I176" s="24" t="b">
        <v>1</v>
      </c>
      <c r="J176" s="2" t="n">
        <v>44753</v>
      </c>
      <c r="K176" s="36" t="inlineStr">
        <is>
          <t>No Match Found</t>
        </is>
      </c>
      <c r="L176" s="36" t="inlineStr">
        <is>
          <t>NA</t>
        </is>
      </c>
      <c r="M176" s="24" t="n">
        <v>44753</v>
      </c>
      <c r="N176" s="24" t="b">
        <v>1</v>
      </c>
      <c r="O176" s="2" t="n">
        <v>44866</v>
      </c>
      <c r="P176" t="inlineStr">
        <is>
          <t>Processed</t>
        </is>
      </c>
      <c r="Q176" s="36" t="inlineStr">
        <is>
          <t>No Match Found</t>
        </is>
      </c>
      <c r="R176" s="36" t="inlineStr">
        <is>
          <t>NA</t>
        </is>
      </c>
      <c r="S176" s="24" t="n">
        <v>44866</v>
      </c>
      <c r="T176" s="24" t="b">
        <v>1</v>
      </c>
      <c r="U176" s="2" t="n">
        <v>44930</v>
      </c>
      <c r="V176" s="36" t="inlineStr">
        <is>
          <t>No Match Found</t>
        </is>
      </c>
      <c r="W176" s="36" t="inlineStr">
        <is>
          <t>NA</t>
        </is>
      </c>
      <c r="X176" s="24" t="n">
        <v>44930</v>
      </c>
      <c r="Y176" s="24" t="b">
        <v>1</v>
      </c>
      <c r="AA176" s="39" t="inlineStr">
        <is>
          <t>No Match Found</t>
        </is>
      </c>
      <c r="AB176" s="39" t="inlineStr">
        <is>
          <t>NA</t>
        </is>
      </c>
      <c r="AD176" s="27" t="b">
        <v>1</v>
      </c>
      <c r="AE176" s="1" t="inlineStr">
        <is>
          <t>X</t>
        </is>
      </c>
      <c r="AF176" s="1" t="inlineStr">
        <is>
          <t>N</t>
        </is>
      </c>
      <c r="AG176" s="3" t="n">
        <v>0</v>
      </c>
      <c r="AH176" s="1" t="inlineStr">
        <is>
          <t>N</t>
        </is>
      </c>
      <c r="AI176" s="1" t="inlineStr">
        <is>
          <t>N</t>
        </is>
      </c>
      <c r="AJ176" s="4" t="n">
        <v>0</v>
      </c>
      <c r="AK176" s="5" t="n">
        <v>0</v>
      </c>
      <c r="AL176" s="41" t="inlineStr">
        <is>
          <t>No Match Found</t>
        </is>
      </c>
      <c r="AM176" s="41" t="inlineStr">
        <is>
          <t>NA</t>
        </is>
      </c>
      <c r="AN176" s="5" t="n">
        <v>0</v>
      </c>
      <c r="AO176" s="29" t="n">
        <v>0</v>
      </c>
      <c r="AP176" s="29" t="b">
        <v>1</v>
      </c>
      <c r="AQ176" s="4" t="n">
        <v>0</v>
      </c>
      <c r="AR176" s="47" t="inlineStr">
        <is>
          <t>No Match Found</t>
        </is>
      </c>
      <c r="AS176" s="47" t="inlineStr">
        <is>
          <t>NA</t>
        </is>
      </c>
      <c r="AT176" s="4" t="n">
        <v>0</v>
      </c>
      <c r="AU176" s="4" t="n">
        <v>0</v>
      </c>
      <c r="AV176" s="47" t="inlineStr">
        <is>
          <t>No Match Found</t>
        </is>
      </c>
      <c r="AW176" s="47" t="inlineStr">
        <is>
          <t>NA</t>
        </is>
      </c>
      <c r="AX176" s="4" t="n">
        <v>0</v>
      </c>
      <c r="AY176" s="47" t="inlineStr">
        <is>
          <t>No Match Found</t>
        </is>
      </c>
      <c r="AZ176" s="47" t="inlineStr">
        <is>
          <t>NA</t>
        </is>
      </c>
      <c r="BA176" s="4" t="n">
        <v>0</v>
      </c>
      <c r="BB176" s="4" t="n">
        <v>0</v>
      </c>
      <c r="BC176" s="4" t="n">
        <v>0</v>
      </c>
      <c r="BD176" s="4" t="n">
        <v>0</v>
      </c>
      <c r="BE176" s="47" t="inlineStr">
        <is>
          <t>No Match Found</t>
        </is>
      </c>
      <c r="BF176" s="47" t="inlineStr">
        <is>
          <t>NA</t>
        </is>
      </c>
      <c r="BG176" s="6" t="n">
        <v>0</v>
      </c>
      <c r="BH176" s="53" t="inlineStr">
        <is>
          <t>No Match Found</t>
        </is>
      </c>
      <c r="BI176" s="53" t="inlineStr">
        <is>
          <t>NA</t>
        </is>
      </c>
      <c r="BJ176" s="4" t="n">
        <v>0</v>
      </c>
      <c r="BK176" s="4" t="n">
        <v>0</v>
      </c>
    </row>
    <row r="177">
      <c r="A177" t="n">
        <v>71</v>
      </c>
      <c r="B177" s="1" t="n"/>
      <c r="C177" s="1" t="n"/>
      <c r="D177" s="1" t="inlineStr"/>
      <c r="E177" s="2" t="n">
        <v>36693</v>
      </c>
      <c r="F177" s="36" t="inlineStr">
        <is>
          <t>No Match Found</t>
        </is>
      </c>
      <c r="G177" s="36" t="inlineStr">
        <is>
          <t>NA</t>
        </is>
      </c>
      <c r="H177" s="24" t="n">
        <v>36693</v>
      </c>
      <c r="I177" s="24" t="b">
        <v>1</v>
      </c>
      <c r="J177" s="2" t="n">
        <v>44984</v>
      </c>
      <c r="K177" s="36" t="inlineStr">
        <is>
          <t>No Match Found</t>
        </is>
      </c>
      <c r="L177" s="36" t="inlineStr">
        <is>
          <t>NA</t>
        </is>
      </c>
      <c r="M177" s="24" t="n">
        <v>44984</v>
      </c>
      <c r="N177" s="24" t="b">
        <v>1</v>
      </c>
      <c r="O177" s="2" t="n">
        <v>45078</v>
      </c>
      <c r="P177" t="inlineStr">
        <is>
          <t>Processed</t>
        </is>
      </c>
      <c r="Q177" s="36" t="inlineStr">
        <is>
          <t>No Match Found</t>
        </is>
      </c>
      <c r="R177" s="36" t="inlineStr">
        <is>
          <t>NA</t>
        </is>
      </c>
      <c r="S177" s="24" t="n">
        <v>45078</v>
      </c>
      <c r="T177" s="24" t="b">
        <v>1</v>
      </c>
      <c r="U177" s="2" t="n">
        <v>45086</v>
      </c>
      <c r="V177" s="36" t="inlineStr">
        <is>
          <t>No Match Found</t>
        </is>
      </c>
      <c r="W177" s="36" t="inlineStr">
        <is>
          <t>NA</t>
        </is>
      </c>
      <c r="X177" s="24" t="n">
        <v>45086</v>
      </c>
      <c r="Y177" s="24" t="b">
        <v>1</v>
      </c>
      <c r="AA177" s="39" t="inlineStr">
        <is>
          <t>No Match Found</t>
        </is>
      </c>
      <c r="AB177" s="39" t="inlineStr">
        <is>
          <t>NA</t>
        </is>
      </c>
      <c r="AD177" s="27" t="b">
        <v>1</v>
      </c>
      <c r="AE177" s="1" t="inlineStr">
        <is>
          <t>X</t>
        </is>
      </c>
      <c r="AF177" s="1" t="inlineStr">
        <is>
          <t>N</t>
        </is>
      </c>
      <c r="AG177" s="3" t="n">
        <v>0</v>
      </c>
      <c r="AH177" s="1" t="inlineStr">
        <is>
          <t>N</t>
        </is>
      </c>
      <c r="AI177" s="1" t="inlineStr">
        <is>
          <t>N</t>
        </is>
      </c>
      <c r="AJ177" s="4" t="n">
        <v>0</v>
      </c>
      <c r="AK177" s="5" t="n">
        <v>0</v>
      </c>
      <c r="AL177" s="41" t="inlineStr">
        <is>
          <t>No Match Found</t>
        </is>
      </c>
      <c r="AM177" s="41" t="inlineStr">
        <is>
          <t>NA</t>
        </is>
      </c>
      <c r="AN177" s="5" t="n">
        <v>0</v>
      </c>
      <c r="AO177" s="29" t="n">
        <v>0</v>
      </c>
      <c r="AP177" s="29" t="b">
        <v>1</v>
      </c>
      <c r="AQ177" s="4" t="n">
        <v>0</v>
      </c>
      <c r="AR177" s="47" t="inlineStr">
        <is>
          <t>No Match Found</t>
        </is>
      </c>
      <c r="AS177" s="47" t="inlineStr">
        <is>
          <t>NA</t>
        </is>
      </c>
      <c r="AT177" s="4" t="n">
        <v>0</v>
      </c>
      <c r="AU177" s="4" t="n">
        <v>0</v>
      </c>
      <c r="AV177" s="47" t="inlineStr">
        <is>
          <t>No Match Found</t>
        </is>
      </c>
      <c r="AW177" s="47" t="inlineStr">
        <is>
          <t>NA</t>
        </is>
      </c>
      <c r="AX177" s="4" t="n">
        <v>0</v>
      </c>
      <c r="AY177" s="47" t="inlineStr">
        <is>
          <t>No Match Found</t>
        </is>
      </c>
      <c r="AZ177" s="47" t="inlineStr">
        <is>
          <t>NA</t>
        </is>
      </c>
      <c r="BA177" s="4" t="n">
        <v>0</v>
      </c>
      <c r="BB177" s="4" t="n">
        <v>0</v>
      </c>
      <c r="BC177" s="4" t="n">
        <v>0</v>
      </c>
      <c r="BD177" s="4" t="n">
        <v>0</v>
      </c>
      <c r="BE177" s="47" t="inlineStr">
        <is>
          <t>No Match Found</t>
        </is>
      </c>
      <c r="BF177" s="47" t="inlineStr">
        <is>
          <t>NA</t>
        </is>
      </c>
      <c r="BG177" s="6" t="n">
        <v>0</v>
      </c>
      <c r="BH177" s="53" t="inlineStr">
        <is>
          <t>No Match Found</t>
        </is>
      </c>
      <c r="BI177" s="53" t="inlineStr">
        <is>
          <t>NA</t>
        </is>
      </c>
      <c r="BJ177" s="4" t="n">
        <v>0</v>
      </c>
      <c r="BK177" s="4" t="n">
        <v>0</v>
      </c>
    </row>
    <row r="178" ht="13.5" customFormat="1" customHeight="1" s="7" thickBot="1">
      <c r="A178" s="7" t="n">
        <v>71</v>
      </c>
      <c r="B178" s="7" t="inlineStr">
        <is>
          <t>Total Non-Eligibles</t>
        </is>
      </c>
      <c r="F178" s="38" t="n"/>
      <c r="G178" s="38" t="n"/>
      <c r="H178" s="26" t="n"/>
      <c r="I178" s="26" t="n"/>
      <c r="K178" s="38" t="n"/>
      <c r="L178" s="38" t="n"/>
      <c r="M178" s="26" t="n"/>
      <c r="N178" s="26" t="n"/>
      <c r="Q178" s="38" t="n"/>
      <c r="R178" s="38" t="n"/>
      <c r="S178" s="26" t="n"/>
      <c r="T178" s="26" t="n"/>
      <c r="V178" s="38" t="n"/>
      <c r="W178" s="38" t="n"/>
      <c r="X178" s="26" t="n"/>
      <c r="Y178" s="26" t="n"/>
      <c r="AA178" s="38" t="n"/>
      <c r="AB178" s="38" t="n"/>
      <c r="AC178" s="26" t="n"/>
      <c r="AD178" s="26" t="n"/>
      <c r="AJ178" s="17">
        <f>SUM(AJ107:AJ177)</f>
        <v/>
      </c>
      <c r="AK178" s="18">
        <f>SUM(AK107:AK177)</f>
        <v/>
      </c>
      <c r="AL178" s="44">
        <f>SUM(AL107:AL177)</f>
        <v/>
      </c>
      <c r="AM178" s="44">
        <f>SUM(AM107:AM177)</f>
        <v/>
      </c>
      <c r="AN178" s="18">
        <f>SUM(AN107:AN177)</f>
        <v/>
      </c>
      <c r="AO178" s="32">
        <f>SUM(AO107:AO177)</f>
        <v/>
      </c>
      <c r="AP178" s="32">
        <f>SUM(AP107:AP177)</f>
        <v/>
      </c>
      <c r="AQ178" s="17">
        <f>SUM(AQ107:AQ177)</f>
        <v/>
      </c>
      <c r="AR178" s="50">
        <f>SUM(AR107:AR177)</f>
        <v/>
      </c>
      <c r="AS178" s="50">
        <f>SUM(AS107:AS177)</f>
        <v/>
      </c>
      <c r="AT178" s="17">
        <f>SUM(AT107:AT177)</f>
        <v/>
      </c>
      <c r="AU178" s="17">
        <f>SUM(AU107:AU177)</f>
        <v/>
      </c>
      <c r="AV178" s="50">
        <f>SUM(AV107:AV177)</f>
        <v/>
      </c>
      <c r="AW178" s="50">
        <f>SUM(AW107:AW177)</f>
        <v/>
      </c>
      <c r="AX178" s="17">
        <f>SUM(AX107:AX177)</f>
        <v/>
      </c>
      <c r="AY178" s="50">
        <f>SUM(AY107:AY177)</f>
        <v/>
      </c>
      <c r="AZ178" s="50">
        <f>SUM(AZ107:AZ177)</f>
        <v/>
      </c>
      <c r="BA178" s="17">
        <f>SUM(BA107:BA177)</f>
        <v/>
      </c>
      <c r="BB178" s="17">
        <f>SUM(BB107:BB177)</f>
        <v/>
      </c>
      <c r="BC178" s="17">
        <f>SUM(BC107:BC177)</f>
        <v/>
      </c>
      <c r="BD178" s="17">
        <f>SUM(BD107:BD177)</f>
        <v/>
      </c>
      <c r="BE178" s="50">
        <f>SUM(BE107:BE177)</f>
        <v/>
      </c>
      <c r="BF178" s="50">
        <f>SUM(BF107:BF177)</f>
        <v/>
      </c>
      <c r="BG178" s="17">
        <f>SUM(BG107:BG177)</f>
        <v/>
      </c>
      <c r="BH178" s="50">
        <f>SUM(BH107:BH177)</f>
        <v/>
      </c>
      <c r="BI178" s="50">
        <f>SUM(BI107:BI177)</f>
        <v/>
      </c>
      <c r="BJ178" s="17">
        <f>SUM(BJ107:BJ177)</f>
        <v/>
      </c>
      <c r="BK178" s="17">
        <f>SUM(BK107:BK177)</f>
        <v/>
      </c>
      <c r="BL178" s="7">
        <f>SUM(BL107:BL177)</f>
        <v/>
      </c>
    </row>
    <row r="179" ht="12.95" customHeight="1" thickTop="1"/>
    <row r="180" ht="12.95" customFormat="1" customHeight="1" s="7">
      <c r="A180" s="7">
        <f>SUM(HCENum + NHCENum + NESNum + NENum)</f>
        <v/>
      </c>
      <c r="B180" s="7" t="inlineStr">
        <is>
          <t>Grand Totals</t>
        </is>
      </c>
      <c r="F180" s="38" t="n"/>
      <c r="G180" s="38" t="n"/>
      <c r="H180" s="26" t="n"/>
      <c r="I180" s="26" t="n"/>
      <c r="K180" s="38" t="n"/>
      <c r="L180" s="38" t="n"/>
      <c r="M180" s="26" t="n"/>
      <c r="N180" s="26" t="n"/>
      <c r="Q180" s="38" t="n"/>
      <c r="R180" s="38" t="n"/>
      <c r="S180" s="26" t="n"/>
      <c r="T180" s="26" t="n"/>
      <c r="V180" s="38" t="n"/>
      <c r="W180" s="38" t="n"/>
      <c r="X180" s="26" t="n"/>
      <c r="Y180" s="26" t="n"/>
      <c r="AA180" s="38" t="n"/>
      <c r="AB180" s="38" t="n"/>
      <c r="AC180" s="26" t="n"/>
      <c r="AD180" s="26" t="n"/>
      <c r="AJ180" s="21">
        <f>SUM(HCE + HCE_NO + NES + NEX)</f>
        <v/>
      </c>
      <c r="AK180" s="22">
        <f>SUM(HCE + HCE_NO + NES + NEX)</f>
        <v/>
      </c>
      <c r="AL180" s="46">
        <f>SUM(HCE + HCE_NO + NES + NEX)</f>
        <v/>
      </c>
      <c r="AM180" s="46">
        <f>SUM(HCE + HCE_NO + NES + NEX)</f>
        <v/>
      </c>
      <c r="AN180" s="22">
        <f>SUM(HCE + HCE_NO + NES + NEX)</f>
        <v/>
      </c>
      <c r="AO180" s="34">
        <f>SUM(HCE + HCE_NO + NES + NEX)</f>
        <v/>
      </c>
      <c r="AP180" s="34">
        <f>SUM(HCE + HCE_NO + NES + NEX)</f>
        <v/>
      </c>
      <c r="AQ180" s="21">
        <f>SUM(HCE + HCE_NO + NES + NEX)</f>
        <v/>
      </c>
      <c r="AR180" s="52">
        <f>SUM(HCE + HCE_NO + NES + NEX)</f>
        <v/>
      </c>
      <c r="AS180" s="52">
        <f>SUM(HCE + HCE_NO + NES + NEX)</f>
        <v/>
      </c>
      <c r="AT180" s="21">
        <f>SUM(HCE + HCE_NO + NES + NEX)</f>
        <v/>
      </c>
      <c r="AU180" s="21">
        <f>SUM(HCE + HCE_NO + NES + NEX)</f>
        <v/>
      </c>
      <c r="AV180" s="52">
        <f>SUM(HCE + HCE_NO + NES + NEX)</f>
        <v/>
      </c>
      <c r="AW180" s="52">
        <f>SUM(HCE + HCE_NO + NES + NEX)</f>
        <v/>
      </c>
      <c r="AX180" s="21">
        <f>SUM(HCE + HCE_NO + NES + NEX)</f>
        <v/>
      </c>
      <c r="AY180" s="52">
        <f>SUM(HCE + HCE_NO + NES + NEX)</f>
        <v/>
      </c>
      <c r="AZ180" s="52">
        <f>SUM(HCE + HCE_NO + NES + NEX)</f>
        <v/>
      </c>
      <c r="BA180" s="21">
        <f>SUM(HCE + HCE_NO + NES + NEX)</f>
        <v/>
      </c>
      <c r="BB180" s="21">
        <f>SUM(HCE + HCE_NO + NES + NEX)</f>
        <v/>
      </c>
      <c r="BC180" s="21">
        <f>SUM(HCE + HCE_NO + NES + NEX)</f>
        <v/>
      </c>
      <c r="BD180" s="21">
        <f>SUM(HCE + HCE_NO + NES + NEX)</f>
        <v/>
      </c>
      <c r="BE180" s="52">
        <f>SUM(HCE + HCE_NO + NES + NEX)</f>
        <v/>
      </c>
      <c r="BF180" s="52">
        <f>SUM(HCE + HCE_NO + NES + NEX)</f>
        <v/>
      </c>
      <c r="BG180" s="7">
        <f>SUM(HCE + HCE_NO + NES + NEX)</f>
        <v/>
      </c>
      <c r="BH180" s="38">
        <f>SUM(HCE + HCE_NO + NES + NEX)</f>
        <v/>
      </c>
      <c r="BI180" s="38">
        <f>SUM(HCE + HCE_NO + NES + NEX)</f>
        <v/>
      </c>
      <c r="BJ180" s="7">
        <f>SUM(HCE + HCE_NO + NES + NEX)</f>
        <v/>
      </c>
      <c r="BK180" s="7">
        <f>SUM(HCE + HCE_NO + NES + NEX)</f>
        <v/>
      </c>
      <c r="BL180" s="7">
        <f>SUM(HCE + HCE_NO + NES + NEX)</f>
        <v/>
      </c>
    </row>
  </sheetData>
  <pageMargins left="0.5" right="0.5" top="0.75" bottom="0.5" header="0.25" footer="0.25"/>
  <pageSetup orientation="landscape" scale="80" fitToHeight="0" fitToWidth="0" horizontalDpi="1200" verticalDpi="1200"/>
  <headerFooter>
    <oddHeader/>
    <oddFooter>&amp;L&amp;"Arial,Regular"&amp;9 &amp;Z&amp;F as of &amp;D&amp;R&amp;"Arial,Regular"&amp;9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description xmlns:dc="http://purl.org/dc/elements/1.1/">Powered by Crystal</dc:description>
  <dcterms:created xmlns:dcterms="http://purl.org/dc/terms/" xmlns:xsi="http://www.w3.org/2001/XMLSchema-instance" xsi:type="dcterms:W3CDTF">2025-10-30T16:13:19Z</dcterms:created>
  <dcterms:modified xmlns:dcterms="http://purl.org/dc/terms/" xmlns:xsi="http://www.w3.org/2001/XMLSchema-instance" xsi:type="dcterms:W3CDTF">2026-08-04T20:08:59Z</dcterms:modified>
  <cp:lastModifiedBy>Chandrasekaran, Gayatri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0x0101002621C31EE599524694ED975ABB2B3982</vt:lpwstr>
  </property>
  <property name="MSIP_Label_9e1e58c1-766d-4ff4-9619-b604fc37898b_Enabled" fmtid="{D5CDD505-2E9C-101B-9397-08002B2CF9AE}" pid="3">
    <vt:lpwstr xmlns:vt="http://schemas.openxmlformats.org/officeDocument/2006/docPropsVTypes">true</vt:lpwstr>
  </property>
  <property name="MSIP_Label_9e1e58c1-766d-4ff4-9619-b604fc37898b_SetDate" fmtid="{D5CDD505-2E9C-101B-9397-08002B2CF9AE}" pid="4">
    <vt:lpwstr xmlns:vt="http://schemas.openxmlformats.org/officeDocument/2006/docPropsVTypes">2025-10-30T16:13:15Z</vt:lpwstr>
  </property>
  <property name="MSIP_Label_9e1e58c1-766d-4ff4-9619-b604fc37898b_Method" fmtid="{D5CDD505-2E9C-101B-9397-08002B2CF9AE}" pid="5">
    <vt:lpwstr xmlns:vt="http://schemas.openxmlformats.org/officeDocument/2006/docPropsVTypes">Standard</vt:lpwstr>
  </property>
  <property name="MSIP_Label_9e1e58c1-766d-4ff4-9619-b604fc37898b_Name" fmtid="{D5CDD505-2E9C-101B-9397-08002B2CF9AE}" pid="6">
    <vt:lpwstr xmlns:vt="http://schemas.openxmlformats.org/officeDocument/2006/docPropsVTypes">Internal Use</vt:lpwstr>
  </property>
  <property name="MSIP_Label_9e1e58c1-766d-4ff4-9619-b604fc37898b_SiteId" fmtid="{D5CDD505-2E9C-101B-9397-08002B2CF9AE}" pid="7">
    <vt:lpwstr xmlns:vt="http://schemas.openxmlformats.org/officeDocument/2006/docPropsVTypes">e3ff91d8-34c8-4b15-a0b4-18910a6ac575</vt:lpwstr>
  </property>
  <property name="MSIP_Label_9e1e58c1-766d-4ff4-9619-b604fc37898b_ActionId" fmtid="{D5CDD505-2E9C-101B-9397-08002B2CF9AE}" pid="8">
    <vt:lpwstr xmlns:vt="http://schemas.openxmlformats.org/officeDocument/2006/docPropsVTypes">0229fbf7-e4ab-4813-b54f-62dd8623e93b</vt:lpwstr>
  </property>
  <property name="MSIP_Label_9e1e58c1-766d-4ff4-9619-b604fc37898b_ContentBits" fmtid="{D5CDD505-2E9C-101B-9397-08002B2CF9AE}" pid="9">
    <vt:lpwstr xmlns:vt="http://schemas.openxmlformats.org/officeDocument/2006/docPropsVTypes">0</vt:lpwstr>
  </property>
  <property name="MSIP_Label_9e1e58c1-766d-4ff4-9619-b604fc37898b_Tag" fmtid="{D5CDD505-2E9C-101B-9397-08002B2CF9AE}" pid="10">
    <vt:lpwstr xmlns:vt="http://schemas.openxmlformats.org/officeDocument/2006/docPropsVTypes">10, 3, 0, 2</vt:lpwstr>
  </property>
</Properties>
</file>