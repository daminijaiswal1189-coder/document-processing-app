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'2024Help'!$A$48</definedName>
    <definedName name="GrandTotalRow">'2024Help'!$AI$48:$BG$48</definedName>
    <definedName name="GROUP">'2024Help'!#REF!</definedName>
    <definedName name="HCE">'2024Help'!$AI$7:$BG$7</definedName>
    <definedName name="HCE_NO">'2024Help'!$AI$29:$BG$29</definedName>
    <definedName name="HCENum">'2024Help'!$A$7</definedName>
    <definedName name="Issues">'2024Help'!$BH$1:$BH$45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'2024Help'!$A$46</definedName>
    <definedName name="NEX">'2024Help'!$AI$46:$BG$46</definedName>
    <definedName name="NHCE_Group">'2024Help'!$B$9:$BH$28</definedName>
    <definedName name="NHCENum">'2024Help'!$A$29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'2024Help'!$A$30</definedName>
    <definedName name="TotalWF">'2024Help'!$32:$32</definedName>
    <definedName name="YTD">'2024Help'!$AJ:$AJ</definedName>
    <definedName name="_xlnm._FilterDatabase" localSheetId="0" hidden="1">'2024Help'!$A$1:$BH$48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1" fillId="0" borderId="0" pivotButton="0" quotePrefix="0" xfId="0"/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pivotButton="0" quotePrefix="0" xfId="0"/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14" fontId="0" fillId="2" borderId="0" pivotButton="0" quotePrefix="0" xfId="0"/>
    <xf numFmtId="3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1" fillId="2" borderId="0" pivotButton="0" quotePrefix="0" xfId="0"/>
    <xf numFmtId="0" fontId="0" fillId="3" borderId="0" pivotButton="0" quotePrefix="0" xfId="0"/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14" fontId="0" fillId="3" borderId="0" pivotButton="0" quotePrefix="0" xfId="0"/>
    <xf numFmtId="3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1" fillId="3" borderId="0" pivotButton="0" quotePrefix="0" xfId="0"/>
    <xf numFmtId="4" fontId="0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1" fillId="3" borderId="0" pivotButton="0" quotePrefix="0" xfId="0"/>
    <xf numFmtId="164" fontId="0" fillId="4" borderId="0" applyAlignment="1" pivotButton="0" quotePrefix="0" xfId="0">
      <alignment vertical="top"/>
    </xf>
    <xf numFmtId="0" fontId="0" fillId="4" borderId="0" pivotButton="0" quotePrefix="0" xfId="0"/>
    <xf numFmtId="3" fontId="0" fillId="4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5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I48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2.85546875" bestFit="1" customWidth="1" min="1" max="1"/>
    <col width="17.140625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4" bestFit="1" customWidth="1" style="29" min="6" max="6"/>
    <col width="14.85546875" bestFit="1" customWidth="1" style="29" min="7" max="7"/>
    <col width="10.42578125" customWidth="1" style="18" min="8" max="8"/>
    <col width="10.5703125" bestFit="1" customWidth="1" style="18" min="9" max="9"/>
    <col width="10.42578125" bestFit="1" customWidth="1" min="10" max="10"/>
    <col width="14" bestFit="1" customWidth="1" style="29" min="11" max="11"/>
    <col width="14.42578125" bestFit="1" customWidth="1" style="29" min="12" max="12"/>
    <col width="10.42578125" customWidth="1" style="18" min="13" max="13"/>
    <col width="10.5703125" bestFit="1" customWidth="1" style="18" min="14" max="14"/>
    <col width="10.42578125" bestFit="1" customWidth="1" min="15" max="15"/>
    <col width="19.42578125" bestFit="1" customWidth="1" style="29" min="16" max="16"/>
    <col width="25.5703125" bestFit="1" customWidth="1" style="29" min="17" max="17"/>
    <col width="10.42578125" customWidth="1" style="18" min="18" max="18"/>
    <col width="10.85546875" bestFit="1" customWidth="1" style="18" min="19" max="19"/>
    <col width="10.42578125" bestFit="1" customWidth="1" min="20" max="20"/>
    <col width="27.140625" bestFit="1" customWidth="1" style="29" min="21" max="21"/>
    <col width="33.140625" bestFit="1" customWidth="1" style="29" min="22" max="22"/>
    <col width="10.42578125" customWidth="1" style="18" min="23" max="23"/>
    <col width="10.85546875" bestFit="1" customWidth="1" style="18" min="24" max="24"/>
    <col width="10.42578125" bestFit="1" customWidth="1" min="25" max="25"/>
    <col width="14" bestFit="1" customWidth="1" style="29" min="26" max="26"/>
    <col width="16.42578125" bestFit="1" customWidth="1" style="29" min="27" max="27"/>
    <col width="10.85546875" bestFit="1" customWidth="1" style="18" min="28" max="28"/>
    <col width="11.85546875" bestFit="1" customWidth="1" style="18" min="29" max="29"/>
    <col width="5.85546875" bestFit="1" customWidth="1" min="30" max="30"/>
    <col width="3.7109375" bestFit="1" customWidth="1" min="31" max="31"/>
    <col width="9.28515625" bestFit="1" customWidth="1" min="32" max="32"/>
    <col width="3.85546875" bestFit="1" customWidth="1" min="33" max="33"/>
    <col width="4.42578125" bestFit="1" customWidth="1" min="34" max="34"/>
    <col width="11.42578125" bestFit="1" customWidth="1" style="1" min="35" max="35"/>
    <col width="6.42578125" bestFit="1" customWidth="1" style="2" min="36" max="36"/>
    <col width="14" bestFit="1" customWidth="1" style="34" min="37" max="37"/>
    <col width="13.42578125" bestFit="1" customWidth="1" style="34" min="38" max="38"/>
    <col width="5.28515625" bestFit="1" customWidth="1" style="2" min="39" max="39"/>
    <col width="10.140625" bestFit="1" customWidth="1" style="23" min="40" max="40"/>
    <col width="11.140625" bestFit="1" customWidth="1" style="23" min="41" max="41"/>
    <col width="11.42578125" bestFit="1" customWidth="1" style="1" min="42" max="42"/>
    <col width="15.28515625" bestFit="1" customWidth="1" style="40" min="43" max="43"/>
    <col width="19.140625" bestFit="1" customWidth="1" style="40" min="44" max="44"/>
    <col width="11.42578125" bestFit="1" customWidth="1" style="1" min="45" max="45"/>
    <col width="9.85546875" bestFit="1" customWidth="1" style="1" min="46" max="46"/>
    <col width="14.42578125" bestFit="1" customWidth="1" style="40" min="47" max="47"/>
    <col width="18.28515625" bestFit="1" customWidth="1" style="40" min="48" max="48"/>
    <col width="8.85546875" bestFit="1" customWidth="1" style="1" min="49" max="49"/>
    <col width="14" bestFit="1" customWidth="1" style="40" min="50" max="50"/>
    <col width="12.42578125" bestFit="1" customWidth="1" style="40" min="51" max="51"/>
    <col width="9.85546875" bestFit="1" customWidth="1" style="1" min="52" max="52"/>
    <col width="8.85546875" bestFit="1" customWidth="1" style="1" min="53" max="53"/>
    <col width="11.42578125" bestFit="1" customWidth="1" style="1" min="54" max="54"/>
    <col width="8.85546875" bestFit="1" customWidth="1" style="1" min="55" max="55"/>
    <col width="14" bestFit="1" customWidth="1" style="40" min="56" max="56"/>
    <col width="13.85546875" bestFit="1" customWidth="1" style="40" min="57" max="57"/>
    <col width="13.7109375" bestFit="1" customWidth="1" min="58" max="58"/>
    <col width="9.85546875" bestFit="1" customWidth="1" min="59" max="59"/>
    <col width="41.140625" bestFit="1" customWidth="1" min="60" max="60"/>
  </cols>
  <sheetData>
    <row r="1">
      <c r="B1" t="inlineStr">
        <is>
          <t>Name</t>
        </is>
      </c>
      <c r="C1" t="inlineStr">
        <is>
          <t>SS#</t>
        </is>
      </c>
      <c r="D1" t="inlineStr">
        <is>
          <t>Div</t>
        </is>
      </c>
      <c r="E1" t="inlineStr">
        <is>
          <t>DOB</t>
        </is>
      </c>
      <c r="F1" s="29" t="inlineStr">
        <is>
          <t>Birth Date</t>
        </is>
      </c>
      <c r="G1" s="29" t="inlineStr">
        <is>
          <t>Match_Birth Date</t>
        </is>
      </c>
      <c r="H1" s="18" t="inlineStr">
        <is>
          <t>Prior_DOB</t>
        </is>
      </c>
      <c r="I1" s="18" t="inlineStr">
        <is>
          <t>Match_DOB</t>
        </is>
      </c>
      <c r="J1" t="inlineStr">
        <is>
          <t>DOH</t>
        </is>
      </c>
      <c r="K1" s="29" t="inlineStr">
        <is>
          <t>Hire Date</t>
        </is>
      </c>
      <c r="L1" s="29" t="inlineStr">
        <is>
          <t>Match_Hire Date</t>
        </is>
      </c>
      <c r="M1" s="18" t="inlineStr">
        <is>
          <t>Prior_DOH</t>
        </is>
      </c>
      <c r="N1" s="18" t="inlineStr">
        <is>
          <t>Match_DOH</t>
        </is>
      </c>
      <c r="O1" t="inlineStr">
        <is>
          <t>Entry</t>
        </is>
      </c>
      <c r="P1" s="29" t="inlineStr">
        <is>
          <t>EE Deferral Entry Date</t>
        </is>
      </c>
      <c r="Q1" s="29" t="inlineStr">
        <is>
          <t>Match_EE Deferral Entry Date</t>
        </is>
      </c>
      <c r="R1" s="18" t="inlineStr">
        <is>
          <t>Prior_Entry</t>
        </is>
      </c>
      <c r="S1" s="18" t="inlineStr">
        <is>
          <t>Match_Entry</t>
        </is>
      </c>
      <c r="T1" t="inlineStr">
        <is>
          <t>Term</t>
        </is>
      </c>
      <c r="U1" s="29" t="inlineStr">
        <is>
          <t>Termination/Status Change Date</t>
        </is>
      </c>
      <c r="V1" s="29" t="inlineStr">
        <is>
          <t>Match_Termination/Status Change Date</t>
        </is>
      </c>
      <c r="W1" s="18" t="inlineStr">
        <is>
          <t>Prior_Term</t>
        </is>
      </c>
      <c r="X1" s="18" t="inlineStr">
        <is>
          <t>Match_Term</t>
        </is>
      </c>
      <c r="Y1" t="inlineStr">
        <is>
          <t>Rehire</t>
        </is>
      </c>
      <c r="Z1" s="29" t="inlineStr">
        <is>
          <t>Rehire Date</t>
        </is>
      </c>
      <c r="AA1" s="29" t="inlineStr">
        <is>
          <t>Match_Rehire Date</t>
        </is>
      </c>
      <c r="AB1" s="18" t="inlineStr">
        <is>
          <t>Prior_Rehire</t>
        </is>
      </c>
      <c r="AC1" s="18" t="inlineStr">
        <is>
          <t>Match_Rehire</t>
        </is>
      </c>
      <c r="AD1" t="inlineStr">
        <is>
          <t>Status</t>
        </is>
      </c>
      <c r="AE1" t="inlineStr">
        <is>
          <t>Ofc</t>
        </is>
      </c>
      <c r="AF1" t="inlineStr">
        <is>
          <t>OWNER%</t>
        </is>
      </c>
      <c r="AG1" t="inlineStr">
        <is>
          <t>Key</t>
        </is>
      </c>
      <c r="AH1" t="inlineStr">
        <is>
          <t>HCE</t>
        </is>
      </c>
      <c r="AI1" s="1" t="inlineStr">
        <is>
          <t>Acct Bal</t>
        </is>
      </c>
      <c r="AJ1" s="2" t="inlineStr">
        <is>
          <t>Hrs.</t>
        </is>
      </c>
      <c r="AK1" s="34" t="inlineStr">
        <is>
          <t>YTD Hours</t>
        </is>
      </c>
      <c r="AL1" s="34" t="inlineStr">
        <is>
          <t>Diff_YTD Hours</t>
        </is>
      </c>
      <c r="AM1" s="2" t="inlineStr">
        <is>
          <t>YOS.</t>
        </is>
      </c>
      <c r="AN1" s="23" t="inlineStr">
        <is>
          <t>Prior_YOS.</t>
        </is>
      </c>
      <c r="AO1" s="23" t="inlineStr">
        <is>
          <t>Match_YOS.</t>
        </is>
      </c>
      <c r="AP1" s="1" t="inlineStr">
        <is>
          <t>Comp</t>
        </is>
      </c>
      <c r="AQ1" s="40" t="inlineStr">
        <is>
          <t>YTD Gross Comp</t>
        </is>
      </c>
      <c r="AR1" s="40" t="inlineStr">
        <is>
          <t>Diff_YTD Gross Comp</t>
        </is>
      </c>
      <c r="AS1" s="1" t="inlineStr">
        <is>
          <t>LTD Comp</t>
        </is>
      </c>
      <c r="AT1" s="1" t="inlineStr">
        <is>
          <t>Deferrals</t>
        </is>
      </c>
      <c r="AU1" s="40" t="inlineStr">
        <is>
          <t>EE DEFERRALS</t>
        </is>
      </c>
      <c r="AV1" s="40" t="inlineStr">
        <is>
          <t>Diff_EE DEFERRALS</t>
        </is>
      </c>
      <c r="AW1" s="1" t="inlineStr">
        <is>
          <t>Roth</t>
        </is>
      </c>
      <c r="AX1" s="40" t="inlineStr">
        <is>
          <t>EE ROTH</t>
        </is>
      </c>
      <c r="AY1" s="40" t="inlineStr">
        <is>
          <t>Diff_EE ROTH</t>
        </is>
      </c>
      <c r="AZ1" s="1" t="inlineStr">
        <is>
          <t>SD</t>
        </is>
      </c>
      <c r="BA1" s="1" t="inlineStr">
        <is>
          <t>Catchup</t>
        </is>
      </c>
      <c r="BB1" s="1" t="inlineStr">
        <is>
          <t>ADP Deferral</t>
        </is>
      </c>
      <c r="BC1" s="1" t="inlineStr">
        <is>
          <t>SHM</t>
        </is>
      </c>
      <c r="BD1" s="40" t="inlineStr">
        <is>
          <t>SH MATCH</t>
        </is>
      </c>
      <c r="BE1" s="40" t="inlineStr">
        <is>
          <t>Diff_SH MATCH</t>
        </is>
      </c>
      <c r="BF1" t="inlineStr">
        <is>
          <t>Contrib Analysis</t>
        </is>
      </c>
      <c r="BG1" t="inlineStr">
        <is>
          <t>415 Limit</t>
        </is>
      </c>
      <c r="BH1" t="inlineStr">
        <is>
          <t>POSSIBLE ISSUES</t>
        </is>
      </c>
      <c r="BI1" t="inlineStr">
        <is>
          <t>POC Status</t>
        </is>
      </c>
    </row>
    <row r="2">
      <c r="A2" t="n">
        <v>1</v>
      </c>
      <c r="B2" t="inlineStr">
        <is>
          <t>AWER</t>
        </is>
      </c>
      <c r="D2" t="inlineStr"/>
      <c r="E2" s="3" t="n">
        <v>22469</v>
      </c>
      <c r="F2" s="30" t="n">
        <v>22469</v>
      </c>
      <c r="G2" s="46" t="b">
        <v>1</v>
      </c>
      <c r="H2" s="19" t="n">
        <v>22469</v>
      </c>
      <c r="I2" s="46" t="b">
        <v>1</v>
      </c>
      <c r="J2" s="3" t="n">
        <v>34850</v>
      </c>
      <c r="K2" s="30" t="n">
        <v>34850</v>
      </c>
      <c r="L2" s="46" t="b">
        <v>1</v>
      </c>
      <c r="M2" s="19" t="n">
        <v>34850</v>
      </c>
      <c r="N2" s="46" t="b">
        <v>1</v>
      </c>
      <c r="O2" s="3" t="n">
        <v>42736</v>
      </c>
      <c r="P2" s="30" t="n">
        <v>42736</v>
      </c>
      <c r="Q2" s="46" t="b">
        <v>1</v>
      </c>
      <c r="R2" s="19" t="n">
        <v>42736</v>
      </c>
      <c r="S2" s="46" t="b">
        <v>1</v>
      </c>
      <c r="V2" s="47" t="b">
        <v>1</v>
      </c>
      <c r="X2" s="47" t="b">
        <v>1</v>
      </c>
      <c r="AA2" s="47" t="b">
        <v>1</v>
      </c>
      <c r="AC2" s="47" t="b">
        <v>1</v>
      </c>
      <c r="AD2" t="inlineStr">
        <is>
          <t>A</t>
        </is>
      </c>
      <c r="AE2" t="inlineStr">
        <is>
          <t>Y</t>
        </is>
      </c>
      <c r="AF2" s="4" t="n">
        <v>100</v>
      </c>
      <c r="AG2" t="inlineStr">
        <is>
          <t>Y</t>
        </is>
      </c>
      <c r="AH2" t="inlineStr">
        <is>
          <t>Y</t>
        </is>
      </c>
      <c r="AI2" s="5" t="n">
        <v>1255918.78</v>
      </c>
      <c r="AJ2" s="6" t="n">
        <v>2080</v>
      </c>
      <c r="AK2" s="35" t="n">
        <v>2080.08</v>
      </c>
      <c r="AL2" s="35">
        <f>IF(AND(ISNUMBER($AK$2), ISNUMBER($AJ$2)), IF(($AK$2 - $AJ$2)&lt;=1, 0, ($AK$2 - $AJ$2)), "")</f>
        <v/>
      </c>
      <c r="AM2" s="6" t="n">
        <v>29</v>
      </c>
      <c r="AN2" s="24" t="n">
        <v>28</v>
      </c>
      <c r="AO2" s="48" t="b">
        <v>1</v>
      </c>
      <c r="AP2" s="5" t="n">
        <v>75014.88</v>
      </c>
      <c r="AQ2" s="41" t="n">
        <v>75014.88</v>
      </c>
      <c r="AR2" s="41">
        <f>$AQ$2-$AP$2</f>
        <v/>
      </c>
      <c r="AS2" s="5" t="n">
        <v>75014.88</v>
      </c>
      <c r="AT2" s="5" t="n">
        <v>30446.01</v>
      </c>
      <c r="AU2" s="41" t="n">
        <v>30446.01</v>
      </c>
      <c r="AV2" s="41">
        <f>$AU$2-$AT$2</f>
        <v/>
      </c>
      <c r="AW2" s="5" t="n">
        <v>0</v>
      </c>
      <c r="AX2" s="41" t="n">
        <v>0</v>
      </c>
      <c r="AY2" s="41">
        <f>$AX$2-$AW$2</f>
        <v/>
      </c>
      <c r="AZ2" s="5" t="n">
        <v>30446.01</v>
      </c>
      <c r="BA2" s="5" t="n">
        <v>7446.009999999998</v>
      </c>
      <c r="BB2" s="5" t="n">
        <v>23000</v>
      </c>
      <c r="BC2" s="5" t="n">
        <v>3000.48</v>
      </c>
      <c r="BD2" s="41" t="n">
        <v>3000.48</v>
      </c>
      <c r="BE2" s="41">
        <f>$BD$2-$BC$2</f>
        <v/>
      </c>
      <c r="BF2" s="5" t="n">
        <v>33446.49</v>
      </c>
      <c r="BG2" s="5" t="n">
        <v>26000.48</v>
      </c>
      <c r="BI2" t="inlineStr">
        <is>
          <t>Processed</t>
        </is>
      </c>
    </row>
    <row r="3">
      <c r="A3" t="n">
        <v>2</v>
      </c>
      <c r="B3" t="inlineStr">
        <is>
          <t>WSDC</t>
        </is>
      </c>
      <c r="D3" t="inlineStr"/>
      <c r="E3" s="3" t="n">
        <v>22584</v>
      </c>
      <c r="F3" s="30" t="n">
        <v>22584</v>
      </c>
      <c r="G3" s="46" t="b">
        <v>1</v>
      </c>
      <c r="H3" s="19" t="n">
        <v>22584</v>
      </c>
      <c r="I3" s="46" t="b">
        <v>1</v>
      </c>
      <c r="J3" s="3" t="n">
        <v>34850</v>
      </c>
      <c r="K3" s="30" t="n">
        <v>34850</v>
      </c>
      <c r="L3" s="46" t="b">
        <v>1</v>
      </c>
      <c r="M3" s="19" t="n">
        <v>34850</v>
      </c>
      <c r="N3" s="46" t="b">
        <v>1</v>
      </c>
      <c r="O3" s="3" t="n">
        <v>42736</v>
      </c>
      <c r="P3" s="30" t="n">
        <v>44973</v>
      </c>
      <c r="Q3" s="49" t="b">
        <v>0</v>
      </c>
      <c r="R3" s="19" t="n">
        <v>42736</v>
      </c>
      <c r="S3" s="46" t="b">
        <v>1</v>
      </c>
      <c r="U3" s="33" t="n">
        <v>43631</v>
      </c>
      <c r="V3" s="50" t="b">
        <v>0</v>
      </c>
      <c r="W3" s="22" t="n">
        <v>43631</v>
      </c>
      <c r="X3" s="50" t="b">
        <v>0</v>
      </c>
      <c r="Y3" s="3" t="n">
        <v>44973</v>
      </c>
      <c r="Z3" s="30" t="n">
        <v>44973</v>
      </c>
      <c r="AA3" s="46" t="b">
        <v>1</v>
      </c>
      <c r="AB3" s="19" t="n">
        <v>44973</v>
      </c>
      <c r="AC3" s="46" t="b">
        <v>1</v>
      </c>
      <c r="AD3" t="inlineStr">
        <is>
          <t>A</t>
        </is>
      </c>
      <c r="AE3" t="inlineStr">
        <is>
          <t>N</t>
        </is>
      </c>
      <c r="AF3" s="4" t="n">
        <v>0</v>
      </c>
      <c r="AG3" t="inlineStr">
        <is>
          <t>Y</t>
        </is>
      </c>
      <c r="AH3" t="inlineStr">
        <is>
          <t>Y</t>
        </is>
      </c>
      <c r="AI3" s="5" t="n">
        <v>57098.57</v>
      </c>
      <c r="AJ3" s="6" t="n">
        <v>2080</v>
      </c>
      <c r="AK3" s="35" t="n">
        <v>2080.08</v>
      </c>
      <c r="AL3" s="35">
        <f>IF(AND(ISNUMBER($AK$3), ISNUMBER($AJ$3)), IF(($AK$3 - $AJ$3)&lt;=1, 0, ($AK$3 - $AJ$3)), "")</f>
        <v/>
      </c>
      <c r="AM3" s="6" t="n">
        <v>25</v>
      </c>
      <c r="AN3" s="24" t="n">
        <v>24</v>
      </c>
      <c r="AO3" s="48" t="b">
        <v>1</v>
      </c>
      <c r="AP3" s="5" t="n">
        <v>33026.4</v>
      </c>
      <c r="AQ3" s="41" t="n">
        <v>33026.4</v>
      </c>
      <c r="AR3" s="41">
        <f>$AQ$3-$AP$3</f>
        <v/>
      </c>
      <c r="AS3" s="5" t="n">
        <v>33026.4</v>
      </c>
      <c r="AT3" s="5" t="n">
        <v>30493.75</v>
      </c>
      <c r="AU3" s="41" t="n">
        <v>30493.75</v>
      </c>
      <c r="AV3" s="41">
        <f>$AU$3-$AT$3</f>
        <v/>
      </c>
      <c r="AW3" s="5" t="n">
        <v>0</v>
      </c>
      <c r="AX3" s="41" t="n">
        <v>0</v>
      </c>
      <c r="AY3" s="41">
        <f>$AX$3-$AW$3</f>
        <v/>
      </c>
      <c r="AZ3" s="5" t="n">
        <v>30493.75</v>
      </c>
      <c r="BA3" s="5" t="n">
        <v>7493.75</v>
      </c>
      <c r="BB3" s="5" t="n">
        <v>23000</v>
      </c>
      <c r="BC3" s="5" t="n">
        <v>1320.96</v>
      </c>
      <c r="BD3" s="41" t="n">
        <v>1320.96</v>
      </c>
      <c r="BE3" s="41">
        <f>$BD$3-$BC$3</f>
        <v/>
      </c>
      <c r="BF3" s="5" t="n">
        <v>31814.71</v>
      </c>
      <c r="BG3" s="5" t="n">
        <v>24320.96</v>
      </c>
      <c r="BI3" t="inlineStr">
        <is>
          <t>Processed</t>
        </is>
      </c>
    </row>
    <row r="4">
      <c r="A4" t="n">
        <v>3</v>
      </c>
      <c r="B4" t="inlineStr">
        <is>
          <t>CVGH</t>
        </is>
      </c>
      <c r="D4" t="inlineStr"/>
      <c r="E4" s="3" t="n">
        <v>27276</v>
      </c>
      <c r="F4" s="30" t="n">
        <v>27276</v>
      </c>
      <c r="G4" s="46" t="b">
        <v>1</v>
      </c>
      <c r="H4" s="19" t="n">
        <v>27276</v>
      </c>
      <c r="I4" s="46" t="b">
        <v>1</v>
      </c>
      <c r="J4" s="3" t="n">
        <v>38504</v>
      </c>
      <c r="K4" s="30" t="n">
        <v>38504</v>
      </c>
      <c r="L4" s="46" t="b">
        <v>1</v>
      </c>
      <c r="M4" s="19" t="n">
        <v>38504</v>
      </c>
      <c r="N4" s="46" t="b">
        <v>1</v>
      </c>
      <c r="O4" s="3" t="n">
        <v>42736</v>
      </c>
      <c r="P4" s="30" t="n">
        <v>42736</v>
      </c>
      <c r="Q4" s="46" t="b">
        <v>1</v>
      </c>
      <c r="R4" s="19" t="n">
        <v>42736</v>
      </c>
      <c r="S4" s="46" t="b">
        <v>1</v>
      </c>
      <c r="V4" s="47" t="b">
        <v>1</v>
      </c>
      <c r="X4" s="47" t="b">
        <v>1</v>
      </c>
      <c r="AA4" s="47" t="b">
        <v>1</v>
      </c>
      <c r="AC4" s="47" t="b">
        <v>1</v>
      </c>
      <c r="AD4" t="inlineStr">
        <is>
          <t>A</t>
        </is>
      </c>
      <c r="AE4" t="inlineStr">
        <is>
          <t>N</t>
        </is>
      </c>
      <c r="AF4" s="4" t="n">
        <v>0</v>
      </c>
      <c r="AG4" t="inlineStr">
        <is>
          <t>N</t>
        </is>
      </c>
      <c r="AH4" t="inlineStr">
        <is>
          <t>Y</t>
        </is>
      </c>
      <c r="AI4" s="5" t="n">
        <v>259960.85</v>
      </c>
      <c r="AJ4" s="6" t="n">
        <v>2080</v>
      </c>
      <c r="AK4" s="35" t="n">
        <v>2080.08</v>
      </c>
      <c r="AL4" s="35">
        <f>IF(AND(ISNUMBER($AK$4), ISNUMBER($AJ$4)), IF(($AK$4 - $AJ$4)&lt;=1, 0, ($AK$4 - $AJ$4)), "")</f>
        <v/>
      </c>
      <c r="AM4" s="6" t="n">
        <v>19</v>
      </c>
      <c r="AN4" s="24" t="n">
        <v>18</v>
      </c>
      <c r="AO4" s="48" t="b">
        <v>1</v>
      </c>
      <c r="AP4" s="5" t="n">
        <v>234824.07</v>
      </c>
      <c r="AQ4" s="41" t="n">
        <v>234824.07</v>
      </c>
      <c r="AR4" s="41">
        <f>$AQ$4-$AP$4</f>
        <v/>
      </c>
      <c r="AS4" s="5" t="n">
        <v>234824.07</v>
      </c>
      <c r="AT4" s="5" t="n">
        <v>22875.01</v>
      </c>
      <c r="AU4" s="41" t="n">
        <v>22875.01</v>
      </c>
      <c r="AV4" s="41">
        <f>$AU$4-$AT$4</f>
        <v/>
      </c>
      <c r="AW4" s="5" t="n">
        <v>7624.99</v>
      </c>
      <c r="AX4" s="41" t="n">
        <v>7624.99</v>
      </c>
      <c r="AY4" s="41">
        <f>$AX$4-$AW$4</f>
        <v/>
      </c>
      <c r="AZ4" s="5" t="n">
        <v>30500</v>
      </c>
      <c r="BA4" s="5" t="n">
        <v>7500</v>
      </c>
      <c r="BB4" s="5" t="n">
        <v>23000</v>
      </c>
      <c r="BC4" s="5" t="n">
        <v>6638.11</v>
      </c>
      <c r="BD4" s="41" t="n">
        <v>6638.11</v>
      </c>
      <c r="BE4" s="41">
        <f>$BD$4-$BC$4</f>
        <v/>
      </c>
      <c r="BF4" s="5" t="n">
        <v>37138.11</v>
      </c>
      <c r="BG4" s="5" t="n">
        <v>29638.11</v>
      </c>
      <c r="BI4" t="inlineStr">
        <is>
          <t>Processed</t>
        </is>
      </c>
    </row>
    <row r="5">
      <c r="A5" t="n">
        <v>4</v>
      </c>
      <c r="B5" t="inlineStr">
        <is>
          <t>JHGB</t>
        </is>
      </c>
      <c r="D5" t="inlineStr"/>
      <c r="E5" s="3" t="n">
        <v>30411</v>
      </c>
      <c r="F5" s="30" t="n">
        <v>30411</v>
      </c>
      <c r="G5" s="46" t="b">
        <v>1</v>
      </c>
      <c r="H5" s="19" t="n">
        <v>30411</v>
      </c>
      <c r="I5" s="46" t="b">
        <v>1</v>
      </c>
      <c r="J5" s="3" t="n">
        <v>39160</v>
      </c>
      <c r="K5" s="30" t="n">
        <v>39160</v>
      </c>
      <c r="L5" s="46" t="b">
        <v>1</v>
      </c>
      <c r="M5" s="19" t="n">
        <v>39160</v>
      </c>
      <c r="N5" s="46" t="b">
        <v>1</v>
      </c>
      <c r="O5" s="3" t="n">
        <v>42736</v>
      </c>
      <c r="P5" s="30" t="n">
        <v>42736</v>
      </c>
      <c r="Q5" s="46" t="b">
        <v>1</v>
      </c>
      <c r="R5" s="19" t="n">
        <v>42736</v>
      </c>
      <c r="S5" s="46" t="b">
        <v>1</v>
      </c>
      <c r="V5" s="47" t="b">
        <v>1</v>
      </c>
      <c r="X5" s="47" t="b">
        <v>1</v>
      </c>
      <c r="AA5" s="47" t="b">
        <v>1</v>
      </c>
      <c r="AC5" s="47" t="b">
        <v>1</v>
      </c>
      <c r="AD5" t="inlineStr">
        <is>
          <t>A</t>
        </is>
      </c>
      <c r="AE5" t="inlineStr">
        <is>
          <t>N</t>
        </is>
      </c>
      <c r="AF5" s="4" t="n">
        <v>0</v>
      </c>
      <c r="AG5" t="inlineStr">
        <is>
          <t>N</t>
        </is>
      </c>
      <c r="AH5" t="inlineStr">
        <is>
          <t>Y</t>
        </is>
      </c>
      <c r="AI5" s="5" t="n">
        <v>158987.66</v>
      </c>
      <c r="AJ5" s="6" t="n">
        <v>2080</v>
      </c>
      <c r="AK5" s="35" t="n">
        <v>2080.08</v>
      </c>
      <c r="AL5" s="35">
        <f>IF(AND(ISNUMBER($AK$5), ISNUMBER($AJ$5)), IF(($AK$5 - $AJ$5)&lt;=1, 0, ($AK$5 - $AJ$5)), "")</f>
        <v/>
      </c>
      <c r="AM5" s="6" t="n">
        <v>17</v>
      </c>
      <c r="AN5" s="24" t="n">
        <v>16</v>
      </c>
      <c r="AO5" s="48" t="b">
        <v>1</v>
      </c>
      <c r="AP5" s="5" t="n">
        <v>144493.8</v>
      </c>
      <c r="AQ5" s="41" t="n">
        <v>144493.8</v>
      </c>
      <c r="AR5" s="41">
        <f>$AQ$5-$AP$5</f>
        <v/>
      </c>
      <c r="AS5" s="5" t="n">
        <v>144493.8</v>
      </c>
      <c r="AT5" s="5" t="n">
        <v>8699.74</v>
      </c>
      <c r="AU5" s="41" t="n">
        <v>8699.74</v>
      </c>
      <c r="AV5" s="41">
        <f>$AU$5-$AT$5</f>
        <v/>
      </c>
      <c r="AW5" s="5" t="n">
        <v>0</v>
      </c>
      <c r="AX5" s="41" t="n">
        <v>0</v>
      </c>
      <c r="AY5" s="41">
        <f>$AX$5-$AW$5</f>
        <v/>
      </c>
      <c r="AZ5" s="5" t="n">
        <v>8699.74</v>
      </c>
      <c r="BA5" s="5" t="n">
        <v>0</v>
      </c>
      <c r="BB5" s="5" t="n">
        <v>8699.74</v>
      </c>
      <c r="BC5" s="5" t="n">
        <v>5799.83</v>
      </c>
      <c r="BD5" s="41" t="n">
        <v>5799.83</v>
      </c>
      <c r="BE5" s="41">
        <f>$BD$5-$BC$5</f>
        <v/>
      </c>
      <c r="BF5" s="5" t="n">
        <v>14499.57</v>
      </c>
      <c r="BG5" s="5" t="n">
        <v>14499.57</v>
      </c>
      <c r="BH5" t="inlineStr">
        <is>
          <t xml:space="preserve"> Match=0 but Roth or Deferral &gt;0. </t>
        </is>
      </c>
      <c r="BI5" t="inlineStr">
        <is>
          <t>Processed</t>
        </is>
      </c>
    </row>
    <row r="6">
      <c r="A6" t="n">
        <v>5</v>
      </c>
      <c r="B6" t="inlineStr">
        <is>
          <t>DCFG</t>
        </is>
      </c>
      <c r="D6" t="inlineStr"/>
      <c r="E6" s="3" t="n">
        <v>29707</v>
      </c>
      <c r="F6" s="30" t="n">
        <v>29707</v>
      </c>
      <c r="G6" s="46" t="b">
        <v>1</v>
      </c>
      <c r="H6" s="19" t="n">
        <v>29707</v>
      </c>
      <c r="I6" s="46" t="b">
        <v>1</v>
      </c>
      <c r="J6" s="3" t="n">
        <v>42885</v>
      </c>
      <c r="K6" s="30" t="n">
        <v>42885</v>
      </c>
      <c r="L6" s="46" t="b">
        <v>1</v>
      </c>
      <c r="M6" s="19" t="n">
        <v>42885</v>
      </c>
      <c r="N6" s="46" t="b">
        <v>1</v>
      </c>
      <c r="O6" s="3" t="n">
        <v>43221</v>
      </c>
      <c r="P6" s="30" t="n">
        <v>43221</v>
      </c>
      <c r="Q6" s="46" t="b">
        <v>1</v>
      </c>
      <c r="R6" s="19" t="n">
        <v>43221</v>
      </c>
      <c r="S6" s="46" t="b">
        <v>1</v>
      </c>
      <c r="V6" s="47" t="b">
        <v>1</v>
      </c>
      <c r="X6" s="47" t="b">
        <v>1</v>
      </c>
      <c r="AA6" s="47" t="b">
        <v>1</v>
      </c>
      <c r="AC6" s="47" t="b">
        <v>1</v>
      </c>
      <c r="AD6" t="inlineStr">
        <is>
          <t>A</t>
        </is>
      </c>
      <c r="AE6" t="inlineStr">
        <is>
          <t>N</t>
        </is>
      </c>
      <c r="AF6" s="4" t="n">
        <v>0</v>
      </c>
      <c r="AG6" t="inlineStr">
        <is>
          <t>N</t>
        </is>
      </c>
      <c r="AH6" t="inlineStr">
        <is>
          <t>Y</t>
        </is>
      </c>
      <c r="AI6" s="5" t="n">
        <v>121537.15</v>
      </c>
      <c r="AJ6" s="6" t="n">
        <v>2080</v>
      </c>
      <c r="AK6" s="35" t="n">
        <v>2080.08</v>
      </c>
      <c r="AL6" s="35">
        <f>IF(AND(ISNUMBER($AK$6), ISNUMBER($AJ$6)), IF(($AK$6 - $AJ$6)&lt;=1, 0, ($AK$6 - $AJ$6)), "")</f>
        <v/>
      </c>
      <c r="AM6" s="6" t="n">
        <v>8</v>
      </c>
      <c r="AN6" s="24" t="n">
        <v>7</v>
      </c>
      <c r="AO6" s="48" t="b">
        <v>1</v>
      </c>
      <c r="AP6" s="5" t="n">
        <v>269212.28</v>
      </c>
      <c r="AQ6" s="41" t="n">
        <v>269212.28</v>
      </c>
      <c r="AR6" s="41">
        <f>$AQ$6-$AP$6</f>
        <v/>
      </c>
      <c r="AS6" s="5" t="n">
        <v>269212.28</v>
      </c>
      <c r="AT6" s="5" t="n">
        <v>13540.63</v>
      </c>
      <c r="AU6" s="41" t="n">
        <v>13540.63</v>
      </c>
      <c r="AV6" s="41">
        <f>$AU$6-$AT$6</f>
        <v/>
      </c>
      <c r="AW6" s="5" t="n">
        <v>0</v>
      </c>
      <c r="AX6" s="41" t="n">
        <v>0</v>
      </c>
      <c r="AY6" s="41">
        <f>$AX$6-$AW$6</f>
        <v/>
      </c>
      <c r="AZ6" s="5" t="n">
        <v>13540.63</v>
      </c>
      <c r="BA6" s="5" t="n">
        <v>0</v>
      </c>
      <c r="BB6" s="5" t="n">
        <v>13540.63</v>
      </c>
      <c r="BC6" s="5" t="n">
        <v>10832.54</v>
      </c>
      <c r="BD6" s="41" t="n">
        <v>10832.54</v>
      </c>
      <c r="BE6" s="41">
        <f>$BD$6-$BC$6</f>
        <v/>
      </c>
      <c r="BF6" s="5" t="n">
        <v>24373.17</v>
      </c>
      <c r="BG6" s="5" t="n">
        <v>24373.17</v>
      </c>
      <c r="BH6" t="inlineStr">
        <is>
          <t xml:space="preserve"> Match=0 but Roth or Deferral &gt;0. </t>
        </is>
      </c>
      <c r="BI6" t="inlineStr">
        <is>
          <t>Processed</t>
        </is>
      </c>
    </row>
    <row r="7" ht="13.5" customFormat="1" customHeight="1" s="7" thickBot="1">
      <c r="A7" s="7" t="n">
        <v>5</v>
      </c>
      <c r="B7" s="7" t="inlineStr">
        <is>
          <t>Total HCE's</t>
        </is>
      </c>
      <c r="E7" s="8"/>
      <c r="F7" s="31"/>
      <c r="G7" s="31"/>
      <c r="H7" s="20"/>
      <c r="I7" s="20"/>
      <c r="J7" s="8"/>
      <c r="K7" s="31"/>
      <c r="L7" s="31"/>
      <c r="M7" s="20"/>
      <c r="N7" s="20"/>
      <c r="O7" s="8"/>
      <c r="P7" s="31"/>
      <c r="Q7" s="31"/>
      <c r="R7" s="20"/>
      <c r="S7" s="20"/>
      <c r="U7" s="32"/>
      <c r="V7" s="32"/>
      <c r="W7" s="21"/>
      <c r="X7" s="21"/>
      <c r="Z7" s="32"/>
      <c r="AA7" s="32"/>
      <c r="AB7" s="21"/>
      <c r="AC7" s="21"/>
      <c r="AF7" s="9"/>
      <c r="AI7" s="10">
        <f>SUM(AI2:AI6)</f>
        <v/>
      </c>
      <c r="AJ7" s="11">
        <f>SUM(AJ2:AJ6)</f>
        <v/>
      </c>
      <c r="AK7" s="36">
        <f>SUM(AK2:AK6)</f>
        <v/>
      </c>
      <c r="AL7" s="36">
        <f>SUM(AL2:AL6)</f>
        <v/>
      </c>
      <c r="AM7" s="11">
        <f>SUM(AM2:AM6)</f>
        <v/>
      </c>
      <c r="AN7" s="25">
        <f>SUM(AN2:AN6)</f>
        <v/>
      </c>
      <c r="AO7" s="25">
        <f>SUM(AO2:AO6)</f>
        <v/>
      </c>
      <c r="AP7" s="10">
        <f>SUM(AP2:AP6)</f>
        <v/>
      </c>
      <c r="AQ7" s="42">
        <f>SUM(AQ2:AQ6)</f>
        <v/>
      </c>
      <c r="AR7" s="42">
        <f>SUM(AR2:AR6)</f>
        <v/>
      </c>
      <c r="AS7" s="10">
        <f>SUM(AS2:AS6)</f>
        <v/>
      </c>
      <c r="AT7" s="10">
        <f>SUM(AT2:AT6)</f>
        <v/>
      </c>
      <c r="AU7" s="42">
        <f>SUM(AU2:AU6)</f>
        <v/>
      </c>
      <c r="AV7" s="42">
        <f>SUM(AV2:AV6)</f>
        <v/>
      </c>
      <c r="AW7" s="10">
        <f>SUM(AW2:AW6)</f>
        <v/>
      </c>
      <c r="AX7" s="42">
        <f>SUM(AX2:AX6)</f>
        <v/>
      </c>
      <c r="AY7" s="42">
        <f>SUM(AY2:AY6)</f>
        <v/>
      </c>
      <c r="AZ7" s="10">
        <f>SUM(AZ2:AZ6)</f>
        <v/>
      </c>
      <c r="BA7" s="10">
        <f>SUM(BA2:BA6)</f>
        <v/>
      </c>
      <c r="BB7" s="10">
        <f>SUM(BB2:BB6)</f>
        <v/>
      </c>
      <c r="BC7" s="10">
        <f>SUM(BC2:BC6)</f>
        <v/>
      </c>
      <c r="BD7" s="42">
        <f>SUM(BD2:BD6)</f>
        <v/>
      </c>
      <c r="BE7" s="42">
        <f>SUM(BE2:BE6)</f>
        <v/>
      </c>
      <c r="BF7" s="10">
        <f>SUM(BF2:BF6)</f>
        <v/>
      </c>
      <c r="BG7" s="10">
        <f>SUM(BG2:BG6)</f>
        <v/>
      </c>
      <c r="BH7" s="7">
        <f>SUM(BH2:BH6)</f>
        <v/>
      </c>
    </row>
    <row r="8" ht="12.95" customHeight="1" thickTop="1">
      <c r="E8" s="3"/>
      <c r="F8" s="30"/>
      <c r="G8" s="30"/>
      <c r="H8" s="19"/>
      <c r="I8" s="19"/>
      <c r="J8" s="3"/>
      <c r="K8" s="30"/>
      <c r="L8" s="30"/>
      <c r="M8" s="19"/>
      <c r="N8" s="19"/>
      <c r="O8" s="3"/>
      <c r="P8" s="30"/>
      <c r="Q8" s="30"/>
      <c r="R8" s="19"/>
      <c r="S8" s="19"/>
      <c r="AF8" s="4"/>
      <c r="AI8" s="5"/>
      <c r="AJ8" s="6"/>
      <c r="AK8" s="35"/>
      <c r="AL8" s="35"/>
      <c r="AM8" s="6"/>
      <c r="AN8" s="24"/>
      <c r="AO8" s="24"/>
      <c r="AP8" s="5"/>
      <c r="AQ8" s="41"/>
      <c r="AR8" s="41"/>
      <c r="AS8" s="5"/>
      <c r="AT8" s="5"/>
      <c r="AU8" s="41"/>
      <c r="AV8" s="41"/>
      <c r="AW8" s="5"/>
      <c r="AX8" s="41"/>
      <c r="AY8" s="41"/>
      <c r="AZ8" s="5"/>
      <c r="BA8" s="5"/>
      <c r="BB8" s="5"/>
      <c r="BC8" s="5"/>
      <c r="BD8" s="41"/>
      <c r="BE8" s="41"/>
      <c r="BF8" s="5"/>
      <c r="BG8" s="5"/>
    </row>
    <row r="9">
      <c r="A9" t="n">
        <v>1</v>
      </c>
      <c r="B9" t="inlineStr">
        <is>
          <t>WETR</t>
        </is>
      </c>
      <c r="D9" t="inlineStr"/>
      <c r="E9" s="3" t="n">
        <v>27559</v>
      </c>
      <c r="F9" s="30" t="n">
        <v>27559</v>
      </c>
      <c r="G9" s="46" t="b">
        <v>1</v>
      </c>
      <c r="H9" s="19" t="n">
        <v>27559</v>
      </c>
      <c r="I9" s="46" t="b">
        <v>1</v>
      </c>
      <c r="J9" s="3" t="n">
        <v>35881</v>
      </c>
      <c r="K9" s="30" t="n">
        <v>35881</v>
      </c>
      <c r="L9" s="46" t="b">
        <v>1</v>
      </c>
      <c r="M9" s="19" t="n">
        <v>35881</v>
      </c>
      <c r="N9" s="46" t="b">
        <v>1</v>
      </c>
      <c r="O9" s="3" t="n">
        <v>42736</v>
      </c>
      <c r="P9" s="30" t="n">
        <v>42736</v>
      </c>
      <c r="Q9" s="46" t="b">
        <v>1</v>
      </c>
      <c r="R9" s="19" t="n">
        <v>42736</v>
      </c>
      <c r="S9" s="46" t="b">
        <v>1</v>
      </c>
      <c r="V9" s="47" t="b">
        <v>1</v>
      </c>
      <c r="X9" s="47" t="b">
        <v>1</v>
      </c>
      <c r="AA9" s="47" t="b">
        <v>1</v>
      </c>
      <c r="AC9" s="47" t="b">
        <v>1</v>
      </c>
      <c r="AD9" t="inlineStr">
        <is>
          <t>A</t>
        </is>
      </c>
      <c r="AE9" t="inlineStr">
        <is>
          <t>N</t>
        </is>
      </c>
      <c r="AF9" s="4" t="n">
        <v>0</v>
      </c>
      <c r="AG9" t="inlineStr">
        <is>
          <t>N</t>
        </is>
      </c>
      <c r="AH9" t="inlineStr">
        <is>
          <t>N</t>
        </is>
      </c>
      <c r="AI9" s="5" t="n">
        <v>41053.47</v>
      </c>
      <c r="AJ9" s="6" t="n">
        <v>2188</v>
      </c>
      <c r="AK9" s="35" t="n">
        <v>2187.51</v>
      </c>
      <c r="AL9" s="35">
        <f>IF(AND(ISNUMBER($AK$9), ISNUMBER($AJ$9)), IF(($AK$9 - $AJ$9)&lt;=1, 0, ($AK$9 - $AJ$9)), "")</f>
        <v/>
      </c>
      <c r="AM9" s="6" t="n">
        <v>26</v>
      </c>
      <c r="AN9" s="24" t="n">
        <v>25</v>
      </c>
      <c r="AO9" s="48" t="b">
        <v>1</v>
      </c>
      <c r="AP9" s="5" t="n">
        <v>80802.39999999999</v>
      </c>
      <c r="AQ9" s="41" t="n">
        <v>80802.39999999999</v>
      </c>
      <c r="AR9" s="41">
        <f>$AQ$9-$AP$9</f>
        <v/>
      </c>
      <c r="AS9" s="5" t="n">
        <v>80802.39999999999</v>
      </c>
      <c r="AT9" s="5" t="n">
        <v>2028.59</v>
      </c>
      <c r="AU9" s="41" t="n">
        <v>2028.59</v>
      </c>
      <c r="AV9" s="41">
        <f>$AU$9-$AT$9</f>
        <v/>
      </c>
      <c r="AW9" s="5" t="n">
        <v>0</v>
      </c>
      <c r="AX9" s="41" t="n">
        <v>0</v>
      </c>
      <c r="AY9" s="41">
        <f>$AX$9-$AW$9</f>
        <v/>
      </c>
      <c r="AZ9" s="5" t="n">
        <v>2028.59</v>
      </c>
      <c r="BA9" s="5" t="n">
        <v>0</v>
      </c>
      <c r="BB9" s="5" t="n">
        <v>2028.59</v>
      </c>
      <c r="BC9" s="5" t="n">
        <v>2028.59</v>
      </c>
      <c r="BD9" s="41" t="n">
        <v>2028.59</v>
      </c>
      <c r="BE9" s="41">
        <f>$BD$9-$BC$9</f>
        <v/>
      </c>
      <c r="BF9" s="5" t="n">
        <v>4057.18</v>
      </c>
      <c r="BG9" s="5" t="n">
        <v>4057.18</v>
      </c>
      <c r="BH9" t="inlineStr">
        <is>
          <t xml:space="preserve"> Match=0 but Roth or Deferral &gt;0. </t>
        </is>
      </c>
      <c r="BI9" t="inlineStr">
        <is>
          <t>Processed</t>
        </is>
      </c>
    </row>
    <row r="10">
      <c r="A10" t="n">
        <v>2</v>
      </c>
      <c r="B10" t="inlineStr">
        <is>
          <t>WSER</t>
        </is>
      </c>
      <c r="D10" t="inlineStr"/>
      <c r="E10" s="3" t="n">
        <v>26459</v>
      </c>
      <c r="F10" s="30" t="n">
        <v>26459</v>
      </c>
      <c r="G10" s="46" t="b">
        <v>1</v>
      </c>
      <c r="H10" s="19" t="n">
        <v>26459</v>
      </c>
      <c r="I10" s="46" t="b">
        <v>1</v>
      </c>
      <c r="J10" s="3" t="n">
        <v>35892</v>
      </c>
      <c r="K10" s="30" t="n">
        <v>35892</v>
      </c>
      <c r="L10" s="46" t="b">
        <v>1</v>
      </c>
      <c r="M10" s="19" t="n">
        <v>35892</v>
      </c>
      <c r="N10" s="46" t="b">
        <v>1</v>
      </c>
      <c r="O10" s="3" t="n">
        <v>42736</v>
      </c>
      <c r="P10" s="30" t="n">
        <v>42736</v>
      </c>
      <c r="Q10" s="46" t="b">
        <v>1</v>
      </c>
      <c r="R10" s="19" t="n">
        <v>42736</v>
      </c>
      <c r="S10" s="46" t="b">
        <v>1</v>
      </c>
      <c r="V10" s="47" t="b">
        <v>1</v>
      </c>
      <c r="X10" s="47" t="b">
        <v>1</v>
      </c>
      <c r="AA10" s="47" t="b">
        <v>1</v>
      </c>
      <c r="AC10" s="47" t="b">
        <v>1</v>
      </c>
      <c r="AD10" t="inlineStr">
        <is>
          <t>A</t>
        </is>
      </c>
      <c r="AE10" t="inlineStr">
        <is>
          <t>N</t>
        </is>
      </c>
      <c r="AF10" s="4" t="n">
        <v>0</v>
      </c>
      <c r="AG10" t="inlineStr">
        <is>
          <t>N</t>
        </is>
      </c>
      <c r="AH10" t="inlineStr">
        <is>
          <t>N</t>
        </is>
      </c>
      <c r="AI10" s="5" t="n">
        <v>87403.52</v>
      </c>
      <c r="AJ10" s="6" t="n">
        <v>2080</v>
      </c>
      <c r="AK10" s="35" t="n">
        <v>2080.08</v>
      </c>
      <c r="AL10" s="35">
        <f>IF(AND(ISNUMBER($AK$10), ISNUMBER($AJ$10)), IF(($AK$10 - $AJ$10)&lt;=1, 0, ($AK$10 - $AJ$10)), "")</f>
        <v/>
      </c>
      <c r="AM10" s="6" t="n">
        <v>26</v>
      </c>
      <c r="AN10" s="24" t="n">
        <v>25</v>
      </c>
      <c r="AO10" s="48" t="b">
        <v>1</v>
      </c>
      <c r="AP10" s="5" t="n">
        <v>140548.79</v>
      </c>
      <c r="AQ10" s="41" t="n">
        <v>140548.79</v>
      </c>
      <c r="AR10" s="41">
        <f>$AQ$10-$AP$10</f>
        <v/>
      </c>
      <c r="AS10" s="5" t="n">
        <v>140548.79</v>
      </c>
      <c r="AT10" s="5" t="n">
        <v>7597.98</v>
      </c>
      <c r="AU10" s="41" t="n">
        <v>7597.98</v>
      </c>
      <c r="AV10" s="41">
        <f>$AU$10-$AT$10</f>
        <v/>
      </c>
      <c r="AW10" s="5" t="n">
        <v>0</v>
      </c>
      <c r="AX10" s="41" t="n">
        <v>0</v>
      </c>
      <c r="AY10" s="41">
        <f>$AX$10-$AW$10</f>
        <v/>
      </c>
      <c r="AZ10" s="5" t="n">
        <v>7597.98</v>
      </c>
      <c r="BA10" s="5" t="n">
        <v>0</v>
      </c>
      <c r="BB10" s="5" t="n">
        <v>7597.98</v>
      </c>
      <c r="BC10" s="5" t="n">
        <v>5762.7</v>
      </c>
      <c r="BD10" s="41" t="n">
        <v>5762.7</v>
      </c>
      <c r="BE10" s="41">
        <f>$BD$10-$BC$10</f>
        <v/>
      </c>
      <c r="BF10" s="5" t="n">
        <v>13360.68</v>
      </c>
      <c r="BG10" s="5" t="n">
        <v>13360.68</v>
      </c>
      <c r="BH10" t="inlineStr">
        <is>
          <t xml:space="preserve"> Match=0 but Roth or Deferral &gt;0. </t>
        </is>
      </c>
      <c r="BI10" t="inlineStr">
        <is>
          <t>Processed</t>
        </is>
      </c>
    </row>
    <row r="11">
      <c r="A11" t="n">
        <v>3</v>
      </c>
      <c r="B11" t="inlineStr">
        <is>
          <t>OIKL</t>
        </is>
      </c>
      <c r="D11" t="inlineStr"/>
      <c r="E11" s="3" t="n">
        <v>24400</v>
      </c>
      <c r="F11" s="30" t="n">
        <v>24400</v>
      </c>
      <c r="G11" s="46" t="b">
        <v>1</v>
      </c>
      <c r="H11" s="19" t="n">
        <v>24400</v>
      </c>
      <c r="I11" s="46" t="b">
        <v>1</v>
      </c>
      <c r="J11" s="3" t="n">
        <v>41778</v>
      </c>
      <c r="K11" s="30" t="n">
        <v>41778</v>
      </c>
      <c r="L11" s="46" t="b">
        <v>1</v>
      </c>
      <c r="M11" s="19" t="n">
        <v>41778</v>
      </c>
      <c r="N11" s="46" t="b">
        <v>1</v>
      </c>
      <c r="O11" s="3" t="n">
        <v>42736</v>
      </c>
      <c r="P11" s="30" t="n">
        <v>42736</v>
      </c>
      <c r="Q11" s="46" t="b">
        <v>1</v>
      </c>
      <c r="R11" s="19" t="n">
        <v>42736</v>
      </c>
      <c r="S11" s="46" t="b">
        <v>1</v>
      </c>
      <c r="V11" s="47" t="b">
        <v>1</v>
      </c>
      <c r="X11" s="47" t="b">
        <v>1</v>
      </c>
      <c r="AA11" s="47" t="b">
        <v>1</v>
      </c>
      <c r="AC11" s="47" t="b">
        <v>1</v>
      </c>
      <c r="AD11" t="inlineStr">
        <is>
          <t>A</t>
        </is>
      </c>
      <c r="AE11" t="inlineStr">
        <is>
          <t>N</t>
        </is>
      </c>
      <c r="AF11" s="4" t="n">
        <v>0</v>
      </c>
      <c r="AG11" t="inlineStr">
        <is>
          <t>N</t>
        </is>
      </c>
      <c r="AH11" t="inlineStr">
        <is>
          <t>N</t>
        </is>
      </c>
      <c r="AI11" s="5" t="n">
        <v>99790.49000000001</v>
      </c>
      <c r="AJ11" s="6" t="n">
        <v>2080</v>
      </c>
      <c r="AK11" s="35" t="n">
        <v>2080.08</v>
      </c>
      <c r="AL11" s="35">
        <f>IF(AND(ISNUMBER($AK$11), ISNUMBER($AJ$11)), IF(($AK$11 - $AJ$11)&lt;=1, 0, ($AK$11 - $AJ$11)), "")</f>
        <v/>
      </c>
      <c r="AM11" s="6" t="n">
        <v>11</v>
      </c>
      <c r="AN11" s="24" t="n">
        <v>10</v>
      </c>
      <c r="AO11" s="48" t="b">
        <v>1</v>
      </c>
      <c r="AP11" s="5" t="n">
        <v>106167.92</v>
      </c>
      <c r="AQ11" s="41" t="n">
        <v>106167.92</v>
      </c>
      <c r="AR11" s="41">
        <f>$AQ$11-$AP$11</f>
        <v/>
      </c>
      <c r="AS11" s="5" t="n">
        <v>106167.92</v>
      </c>
      <c r="AT11" s="5" t="n">
        <v>5463.03</v>
      </c>
      <c r="AU11" s="41" t="n">
        <v>5463.03</v>
      </c>
      <c r="AV11" s="41">
        <f>$AU$11-$AT$11</f>
        <v/>
      </c>
      <c r="AW11" s="5" t="n">
        <v>0</v>
      </c>
      <c r="AX11" s="41" t="n">
        <v>0</v>
      </c>
      <c r="AY11" s="41">
        <f>$AX$11-$AW$11</f>
        <v/>
      </c>
      <c r="AZ11" s="5" t="n">
        <v>5463.03</v>
      </c>
      <c r="BA11" s="5" t="n">
        <v>0</v>
      </c>
      <c r="BB11" s="5" t="n">
        <v>5463.03</v>
      </c>
      <c r="BC11" s="5" t="n">
        <v>4370.48</v>
      </c>
      <c r="BD11" s="41" t="n">
        <v>4370.48</v>
      </c>
      <c r="BE11" s="41">
        <f>$BD$11-$BC$11</f>
        <v/>
      </c>
      <c r="BF11" s="5" t="n">
        <v>9833.509999999998</v>
      </c>
      <c r="BG11" s="5" t="n">
        <v>9833.509999999998</v>
      </c>
      <c r="BH11" t="inlineStr">
        <is>
          <t xml:space="preserve"> Match=0 but Roth or Deferral &gt;0. </t>
        </is>
      </c>
      <c r="BI11" t="inlineStr">
        <is>
          <t>Processed</t>
        </is>
      </c>
    </row>
    <row r="12">
      <c r="A12" t="n">
        <v>4</v>
      </c>
      <c r="B12" t="inlineStr">
        <is>
          <t>POLK</t>
        </is>
      </c>
      <c r="D12" t="inlineStr"/>
      <c r="E12" s="3" t="n">
        <v>29219</v>
      </c>
      <c r="F12" s="30" t="n">
        <v>29219</v>
      </c>
      <c r="G12" s="46" t="b">
        <v>1</v>
      </c>
      <c r="H12" s="19" t="n">
        <v>29219</v>
      </c>
      <c r="I12" s="46" t="b">
        <v>1</v>
      </c>
      <c r="J12" s="3" t="n">
        <v>42523</v>
      </c>
      <c r="K12" s="30" t="n">
        <v>42523</v>
      </c>
      <c r="L12" s="46" t="b">
        <v>1</v>
      </c>
      <c r="M12" s="19" t="n">
        <v>42523</v>
      </c>
      <c r="N12" s="46" t="b">
        <v>1</v>
      </c>
      <c r="O12" s="3" t="n">
        <v>42917</v>
      </c>
      <c r="P12" s="30" t="n">
        <v>42917</v>
      </c>
      <c r="Q12" s="46" t="b">
        <v>1</v>
      </c>
      <c r="R12" s="19" t="n">
        <v>42917</v>
      </c>
      <c r="S12" s="46" t="b">
        <v>1</v>
      </c>
      <c r="V12" s="47" t="b">
        <v>1</v>
      </c>
      <c r="X12" s="47" t="b">
        <v>1</v>
      </c>
      <c r="AA12" s="47" t="b">
        <v>1</v>
      </c>
      <c r="AC12" s="47" t="b">
        <v>1</v>
      </c>
      <c r="AD12" t="inlineStr">
        <is>
          <t>A</t>
        </is>
      </c>
      <c r="AE12" t="inlineStr">
        <is>
          <t>N</t>
        </is>
      </c>
      <c r="AF12" s="4" t="n">
        <v>0</v>
      </c>
      <c r="AG12" t="inlineStr">
        <is>
          <t>N</t>
        </is>
      </c>
      <c r="AH12" t="inlineStr">
        <is>
          <t>N</t>
        </is>
      </c>
      <c r="AI12" s="5" t="n">
        <v>11046.84</v>
      </c>
      <c r="AJ12" s="6" t="n">
        <v>1821</v>
      </c>
      <c r="AK12" s="35" t="n">
        <v>1821.29</v>
      </c>
      <c r="AL12" s="35">
        <f>IF(AND(ISNUMBER($AK$12), ISNUMBER($AJ$12)), IF(($AK$12 - $AJ$12)&lt;=1, 0, ($AK$12 - $AJ$12)), "")</f>
        <v/>
      </c>
      <c r="AM12" s="6" t="n">
        <v>9</v>
      </c>
      <c r="AN12" s="24" t="n">
        <v>8</v>
      </c>
      <c r="AO12" s="48" t="b">
        <v>1</v>
      </c>
      <c r="AP12" s="5" t="n">
        <v>82099.10000000001</v>
      </c>
      <c r="AQ12" s="41" t="n">
        <v>82099.10000000001</v>
      </c>
      <c r="AR12" s="41">
        <f>$AQ$12-$AP$12</f>
        <v/>
      </c>
      <c r="AS12" s="5" t="n">
        <v>82099.10000000001</v>
      </c>
      <c r="AT12" s="5" t="n">
        <v>3791.01</v>
      </c>
      <c r="AU12" s="41" t="n">
        <v>3791.01</v>
      </c>
      <c r="AV12" s="41">
        <f>$AU$12-$AT$12</f>
        <v/>
      </c>
      <c r="AW12" s="5" t="n">
        <v>0</v>
      </c>
      <c r="AX12" s="41" t="n">
        <v>0</v>
      </c>
      <c r="AY12" s="41">
        <f>$AX$12-$AW$12</f>
        <v/>
      </c>
      <c r="AZ12" s="5" t="n">
        <v>3791.01</v>
      </c>
      <c r="BA12" s="5" t="n">
        <v>0</v>
      </c>
      <c r="BB12" s="5" t="n">
        <v>3791.01</v>
      </c>
      <c r="BC12" s="5" t="n">
        <v>3032.82</v>
      </c>
      <c r="BD12" s="41" t="n">
        <v>3032.82</v>
      </c>
      <c r="BE12" s="41">
        <f>$BD$12-$BC$12</f>
        <v/>
      </c>
      <c r="BF12" s="5" t="n">
        <v>6823.83</v>
      </c>
      <c r="BG12" s="5" t="n">
        <v>6823.83</v>
      </c>
      <c r="BH12" t="inlineStr">
        <is>
          <t xml:space="preserve"> Match=0 but Roth or Deferral &gt;0. </t>
        </is>
      </c>
      <c r="BI12" t="inlineStr">
        <is>
          <t>Processed</t>
        </is>
      </c>
    </row>
    <row r="13">
      <c r="A13" t="n">
        <v>5</v>
      </c>
      <c r="B13" t="inlineStr">
        <is>
          <t>MKIO</t>
        </is>
      </c>
      <c r="D13" t="inlineStr"/>
      <c r="E13" s="3" t="n">
        <v>27618</v>
      </c>
      <c r="F13" s="30" t="n">
        <v>27618</v>
      </c>
      <c r="G13" s="46" t="b">
        <v>1</v>
      </c>
      <c r="H13" s="19" t="n">
        <v>27618</v>
      </c>
      <c r="I13" s="46" t="b">
        <v>1</v>
      </c>
      <c r="J13" s="3" t="n">
        <v>43010</v>
      </c>
      <c r="K13" s="30" t="n">
        <v>43010</v>
      </c>
      <c r="L13" s="46" t="b">
        <v>1</v>
      </c>
      <c r="M13" s="19" t="n">
        <v>43010</v>
      </c>
      <c r="N13" s="46" t="b">
        <v>1</v>
      </c>
      <c r="O13" s="3" t="n">
        <v>43374</v>
      </c>
      <c r="P13" s="30" t="n">
        <v>43405</v>
      </c>
      <c r="Q13" s="49" t="b">
        <v>0</v>
      </c>
      <c r="R13" s="19" t="n">
        <v>43374</v>
      </c>
      <c r="S13" s="46" t="b">
        <v>1</v>
      </c>
      <c r="V13" s="47" t="b">
        <v>1</v>
      </c>
      <c r="X13" s="47" t="b">
        <v>1</v>
      </c>
      <c r="AA13" s="47" t="b">
        <v>1</v>
      </c>
      <c r="AC13" s="47" t="b">
        <v>1</v>
      </c>
      <c r="AD13" t="inlineStr">
        <is>
          <t>A</t>
        </is>
      </c>
      <c r="AE13" t="inlineStr">
        <is>
          <t>N</t>
        </is>
      </c>
      <c r="AF13" s="4" t="n">
        <v>0</v>
      </c>
      <c r="AG13" t="inlineStr">
        <is>
          <t>N</t>
        </is>
      </c>
      <c r="AH13" t="inlineStr">
        <is>
          <t>N</t>
        </is>
      </c>
      <c r="AI13" s="5" t="n">
        <v>48712.89</v>
      </c>
      <c r="AJ13" s="6" t="n">
        <v>2382</v>
      </c>
      <c r="AK13" s="35" t="n">
        <v>2381.59</v>
      </c>
      <c r="AL13" s="35">
        <f>IF(AND(ISNUMBER($AK$13), ISNUMBER($AJ$13)), IF(($AK$13 - $AJ$13)&lt;=1, 0, ($AK$13 - $AJ$13)), "")</f>
        <v/>
      </c>
      <c r="AM13" s="6" t="n">
        <v>7</v>
      </c>
      <c r="AN13" s="24" t="n">
        <v>6</v>
      </c>
      <c r="AO13" s="48" t="b">
        <v>1</v>
      </c>
      <c r="AP13" s="5" t="n">
        <v>98034.34</v>
      </c>
      <c r="AQ13" s="41" t="n">
        <v>98034.34</v>
      </c>
      <c r="AR13" s="41">
        <f>$AQ$13-$AP$13</f>
        <v/>
      </c>
      <c r="AS13" s="5" t="n">
        <v>98034.34</v>
      </c>
      <c r="AT13" s="5" t="n">
        <v>5012.02</v>
      </c>
      <c r="AU13" s="41" t="n">
        <v>5012.02</v>
      </c>
      <c r="AV13" s="41">
        <f>$AU$13-$AT$13</f>
        <v/>
      </c>
      <c r="AW13" s="5" t="n">
        <v>0</v>
      </c>
      <c r="AX13" s="41" t="n">
        <v>0</v>
      </c>
      <c r="AY13" s="41">
        <f>$AX$13-$AW$13</f>
        <v/>
      </c>
      <c r="AZ13" s="5" t="n">
        <v>5012.02</v>
      </c>
      <c r="BA13" s="5" t="n">
        <v>0</v>
      </c>
      <c r="BB13" s="5" t="n">
        <v>5012.02</v>
      </c>
      <c r="BC13" s="5" t="n">
        <v>4009.6</v>
      </c>
      <c r="BD13" s="41" t="n">
        <v>4009.6</v>
      </c>
      <c r="BE13" s="41">
        <f>$BD$13-$BC$13</f>
        <v/>
      </c>
      <c r="BF13" s="5" t="n">
        <v>9021.620000000001</v>
      </c>
      <c r="BG13" s="5" t="n">
        <v>9021.620000000001</v>
      </c>
      <c r="BH13" t="inlineStr">
        <is>
          <t xml:space="preserve"> Match=0 but Roth or Deferral &gt;0. </t>
        </is>
      </c>
      <c r="BI13" t="inlineStr">
        <is>
          <t>Processed</t>
        </is>
      </c>
    </row>
    <row r="14">
      <c r="A14" t="n">
        <v>6</v>
      </c>
      <c r="B14" t="inlineStr">
        <is>
          <t>RTYU</t>
        </is>
      </c>
      <c r="D14" t="inlineStr"/>
      <c r="E14" s="3" t="n">
        <v>23377</v>
      </c>
      <c r="F14" s="30" t="n">
        <v>23377</v>
      </c>
      <c r="G14" s="46" t="b">
        <v>1</v>
      </c>
      <c r="H14" s="19" t="n">
        <v>23377</v>
      </c>
      <c r="I14" s="46" t="b">
        <v>1</v>
      </c>
      <c r="J14" s="3" t="n">
        <v>43276</v>
      </c>
      <c r="K14" s="30" t="n">
        <v>43276</v>
      </c>
      <c r="L14" s="46" t="b">
        <v>1</v>
      </c>
      <c r="M14" s="19" t="n">
        <v>43276</v>
      </c>
      <c r="N14" s="46" t="b">
        <v>1</v>
      </c>
      <c r="O14" s="3" t="n">
        <v>43647</v>
      </c>
      <c r="P14" s="30" t="n">
        <v>43647</v>
      </c>
      <c r="Q14" s="46" t="b">
        <v>1</v>
      </c>
      <c r="R14" s="19" t="n">
        <v>43647</v>
      </c>
      <c r="S14" s="46" t="b">
        <v>1</v>
      </c>
      <c r="V14" s="47" t="b">
        <v>1</v>
      </c>
      <c r="X14" s="47" t="b">
        <v>1</v>
      </c>
      <c r="AA14" s="47" t="b">
        <v>1</v>
      </c>
      <c r="AC14" s="47" t="b">
        <v>1</v>
      </c>
      <c r="AD14" t="inlineStr">
        <is>
          <t>A</t>
        </is>
      </c>
      <c r="AE14" t="inlineStr">
        <is>
          <t>N</t>
        </is>
      </c>
      <c r="AF14" s="4" t="n">
        <v>0</v>
      </c>
      <c r="AG14" t="inlineStr">
        <is>
          <t>N</t>
        </is>
      </c>
      <c r="AH14" t="inlineStr">
        <is>
          <t>N</t>
        </is>
      </c>
      <c r="AI14" s="5" t="n">
        <v>26698.17</v>
      </c>
      <c r="AJ14" s="6" t="n">
        <v>2134</v>
      </c>
      <c r="AK14" s="35" t="n">
        <v>2133.89</v>
      </c>
      <c r="AL14" s="35">
        <f>IF(AND(ISNUMBER($AK$14), ISNUMBER($AJ$14)), IF(($AK$14 - $AJ$14)&lt;=1, 0, ($AK$14 - $AJ$14)), "")</f>
        <v/>
      </c>
      <c r="AM14" s="6" t="n">
        <v>7</v>
      </c>
      <c r="AN14" s="24" t="n">
        <v>6</v>
      </c>
      <c r="AO14" s="48" t="b">
        <v>1</v>
      </c>
      <c r="AP14" s="5" t="n">
        <v>73456.13</v>
      </c>
      <c r="AQ14" s="41" t="n">
        <v>73456.13</v>
      </c>
      <c r="AR14" s="41">
        <f>$AQ$14-$AP$14</f>
        <v/>
      </c>
      <c r="AS14" s="5" t="n">
        <v>73456.13</v>
      </c>
      <c r="AT14" s="5" t="n">
        <v>2040.35</v>
      </c>
      <c r="AU14" s="41" t="n">
        <v>2040.35</v>
      </c>
      <c r="AV14" s="41">
        <f>$AU$14-$AT$14</f>
        <v/>
      </c>
      <c r="AW14" s="5" t="n">
        <v>0</v>
      </c>
      <c r="AX14" s="41" t="n">
        <v>0</v>
      </c>
      <c r="AY14" s="41">
        <f>$AX$14-$AW$14</f>
        <v/>
      </c>
      <c r="AZ14" s="5" t="n">
        <v>2040.35</v>
      </c>
      <c r="BA14" s="5" t="n">
        <v>0</v>
      </c>
      <c r="BB14" s="5" t="n">
        <v>2040.35</v>
      </c>
      <c r="BC14" s="5" t="n">
        <v>1632.29</v>
      </c>
      <c r="BD14" s="41" t="n">
        <v>1632.29</v>
      </c>
      <c r="BE14" s="41">
        <f>$BD$14-$BC$14</f>
        <v/>
      </c>
      <c r="BF14" s="5" t="n">
        <v>3672.64</v>
      </c>
      <c r="BG14" s="5" t="n">
        <v>3672.64</v>
      </c>
      <c r="BH14" t="inlineStr">
        <is>
          <t xml:space="preserve"> Match=0 but Roth or Deferral &gt;0. </t>
        </is>
      </c>
      <c r="BI14" t="inlineStr">
        <is>
          <t>Processed</t>
        </is>
      </c>
    </row>
    <row r="15">
      <c r="A15" t="n">
        <v>7</v>
      </c>
      <c r="B15" t="inlineStr">
        <is>
          <t>EDFV</t>
        </is>
      </c>
      <c r="D15" t="inlineStr"/>
      <c r="E15" s="3" t="n">
        <v>29369</v>
      </c>
      <c r="F15" s="30" t="n">
        <v>29369</v>
      </c>
      <c r="G15" s="46" t="b">
        <v>1</v>
      </c>
      <c r="H15" s="19" t="n">
        <v>29369</v>
      </c>
      <c r="I15" s="46" t="b">
        <v>1</v>
      </c>
      <c r="J15" s="3" t="n">
        <v>43311</v>
      </c>
      <c r="K15" s="30" t="n">
        <v>43311</v>
      </c>
      <c r="L15" s="46" t="b">
        <v>1</v>
      </c>
      <c r="M15" s="19" t="n">
        <v>43311</v>
      </c>
      <c r="N15" s="46" t="b">
        <v>1</v>
      </c>
      <c r="O15" s="3" t="n">
        <v>43678</v>
      </c>
      <c r="P15" s="30" t="n">
        <v>43678</v>
      </c>
      <c r="Q15" s="46" t="b">
        <v>1</v>
      </c>
      <c r="R15" s="19" t="n">
        <v>43678</v>
      </c>
      <c r="S15" s="46" t="b">
        <v>1</v>
      </c>
      <c r="V15" s="47" t="b">
        <v>1</v>
      </c>
      <c r="X15" s="47" t="b">
        <v>1</v>
      </c>
      <c r="AA15" s="47" t="b">
        <v>1</v>
      </c>
      <c r="AC15" s="47" t="b">
        <v>1</v>
      </c>
      <c r="AD15" t="inlineStr">
        <is>
          <t>A</t>
        </is>
      </c>
      <c r="AE15" t="inlineStr">
        <is>
          <t>N</t>
        </is>
      </c>
      <c r="AF15" s="4" t="n">
        <v>0</v>
      </c>
      <c r="AG15" t="inlineStr">
        <is>
          <t>N</t>
        </is>
      </c>
      <c r="AH15" t="inlineStr">
        <is>
          <t>N</t>
        </is>
      </c>
      <c r="AI15" s="5" t="n">
        <v>57609.97</v>
      </c>
      <c r="AJ15" s="6" t="n">
        <v>2080</v>
      </c>
      <c r="AK15" s="35" t="n">
        <v>2080.08</v>
      </c>
      <c r="AL15" s="35">
        <f>IF(AND(ISNUMBER($AK$15), ISNUMBER($AJ$15)), IF(($AK$15 - $AJ$15)&lt;=1, 0, ($AK$15 - $AJ$15)), "")</f>
        <v/>
      </c>
      <c r="AM15" s="6" t="n">
        <v>6</v>
      </c>
      <c r="AN15" s="24" t="n">
        <v>5</v>
      </c>
      <c r="AO15" s="48" t="b">
        <v>1</v>
      </c>
      <c r="AP15" s="5" t="n">
        <v>64253.15</v>
      </c>
      <c r="AQ15" s="41" t="n">
        <v>64253.15</v>
      </c>
      <c r="AR15" s="41">
        <f>$AQ$15-$AP$15</f>
        <v/>
      </c>
      <c r="AS15" s="5" t="n">
        <v>64253.15</v>
      </c>
      <c r="AT15" s="5" t="n">
        <v>8050.02</v>
      </c>
      <c r="AU15" s="41" t="n">
        <v>8050.02</v>
      </c>
      <c r="AV15" s="41">
        <f>$AU$15-$AT$15</f>
        <v/>
      </c>
      <c r="AW15" s="5" t="n">
        <v>0</v>
      </c>
      <c r="AX15" s="41" t="n">
        <v>0</v>
      </c>
      <c r="AY15" s="41">
        <f>$AX$15-$AW$15</f>
        <v/>
      </c>
      <c r="AZ15" s="5" t="n">
        <v>8050.02</v>
      </c>
      <c r="BA15" s="5" t="n">
        <v>0</v>
      </c>
      <c r="BB15" s="5" t="n">
        <v>8050.02</v>
      </c>
      <c r="BC15" s="5" t="n">
        <v>2683.35</v>
      </c>
      <c r="BD15" s="41" t="n">
        <v>2683.35</v>
      </c>
      <c r="BE15" s="41">
        <f>$BD$15-$BC$15</f>
        <v/>
      </c>
      <c r="BF15" s="5" t="n">
        <v>10733.37</v>
      </c>
      <c r="BG15" s="5" t="n">
        <v>10733.37</v>
      </c>
      <c r="BH15" t="inlineStr">
        <is>
          <t xml:space="preserve"> Match=0 but Roth or Deferral &gt;0. </t>
        </is>
      </c>
      <c r="BI15" t="inlineStr">
        <is>
          <t>Processed</t>
        </is>
      </c>
    </row>
    <row r="16">
      <c r="A16" t="n">
        <v>8</v>
      </c>
      <c r="B16" t="inlineStr">
        <is>
          <t>BNMJ</t>
        </is>
      </c>
      <c r="D16" t="inlineStr"/>
      <c r="E16" s="3" t="n">
        <v>29805</v>
      </c>
      <c r="F16" s="30" t="n">
        <v>29805</v>
      </c>
      <c r="G16" s="46" t="b">
        <v>1</v>
      </c>
      <c r="H16" s="19" t="n">
        <v>29805</v>
      </c>
      <c r="I16" s="46" t="b">
        <v>1</v>
      </c>
      <c r="J16" s="3" t="n">
        <v>43528</v>
      </c>
      <c r="K16" s="30" t="n">
        <v>43528</v>
      </c>
      <c r="L16" s="46" t="b">
        <v>1</v>
      </c>
      <c r="M16" s="19" t="n">
        <v>43528</v>
      </c>
      <c r="N16" s="46" t="b">
        <v>1</v>
      </c>
      <c r="O16" s="3" t="n">
        <v>43922</v>
      </c>
      <c r="P16" s="30" t="n">
        <v>43922</v>
      </c>
      <c r="Q16" s="46" t="b">
        <v>1</v>
      </c>
      <c r="R16" s="19" t="n">
        <v>43922</v>
      </c>
      <c r="S16" s="46" t="b">
        <v>1</v>
      </c>
      <c r="V16" s="47" t="b">
        <v>1</v>
      </c>
      <c r="X16" s="47" t="b">
        <v>1</v>
      </c>
      <c r="AA16" s="47" t="b">
        <v>1</v>
      </c>
      <c r="AC16" s="47" t="b">
        <v>1</v>
      </c>
      <c r="AD16" t="inlineStr">
        <is>
          <t>A</t>
        </is>
      </c>
      <c r="AE16" t="inlineStr">
        <is>
          <t>N</t>
        </is>
      </c>
      <c r="AF16" s="4" t="n">
        <v>0</v>
      </c>
      <c r="AG16" t="inlineStr">
        <is>
          <t>N</t>
        </is>
      </c>
      <c r="AH16" t="inlineStr">
        <is>
          <t>N</t>
        </is>
      </c>
      <c r="AI16" s="5" t="n">
        <v>30817.18</v>
      </c>
      <c r="AJ16" s="6" t="n">
        <v>2080</v>
      </c>
      <c r="AK16" s="35" t="n">
        <v>2080.08</v>
      </c>
      <c r="AL16" s="35">
        <f>IF(AND(ISNUMBER($AK$16), ISNUMBER($AJ$16)), IF(($AK$16 - $AJ$16)&lt;=1, 0, ($AK$16 - $AJ$16)), "")</f>
        <v/>
      </c>
      <c r="AM16" s="6" t="n">
        <v>6</v>
      </c>
      <c r="AN16" s="24" t="n">
        <v>5</v>
      </c>
      <c r="AO16" s="48" t="b">
        <v>1</v>
      </c>
      <c r="AP16" s="5" t="n">
        <v>94819.73</v>
      </c>
      <c r="AQ16" s="41" t="n">
        <v>94819.73</v>
      </c>
      <c r="AR16" s="41">
        <f>$AQ$16-$AP$16</f>
        <v/>
      </c>
      <c r="AS16" s="5" t="n">
        <v>94819.73</v>
      </c>
      <c r="AT16" s="5" t="n">
        <v>4104.94</v>
      </c>
      <c r="AU16" s="41" t="n">
        <v>4104.94</v>
      </c>
      <c r="AV16" s="41">
        <f>$AU$16-$AT$16</f>
        <v/>
      </c>
      <c r="AW16" s="5" t="n">
        <v>0</v>
      </c>
      <c r="AX16" s="41" t="n">
        <v>0</v>
      </c>
      <c r="AY16" s="41">
        <f>$AX$16-$AW$16</f>
        <v/>
      </c>
      <c r="AZ16" s="5" t="n">
        <v>4104.94</v>
      </c>
      <c r="BA16" s="5" t="n">
        <v>0</v>
      </c>
      <c r="BB16" s="5" t="n">
        <v>4104.94</v>
      </c>
      <c r="BC16" s="5" t="n">
        <v>3605.32</v>
      </c>
      <c r="BD16" s="41" t="n">
        <v>3605.32</v>
      </c>
      <c r="BE16" s="41">
        <f>$BD$16-$BC$16</f>
        <v/>
      </c>
      <c r="BF16" s="5" t="n">
        <v>7710.26</v>
      </c>
      <c r="BG16" s="5" t="n">
        <v>7710.26</v>
      </c>
      <c r="BH16" t="inlineStr">
        <is>
          <t xml:space="preserve"> Match=0 but Roth or Deferral &gt;0. </t>
        </is>
      </c>
      <c r="BI16" t="inlineStr">
        <is>
          <t>Processed</t>
        </is>
      </c>
    </row>
    <row r="17">
      <c r="A17" t="n">
        <v>9</v>
      </c>
      <c r="B17" t="inlineStr">
        <is>
          <t>KMLO</t>
        </is>
      </c>
      <c r="D17" t="inlineStr"/>
      <c r="E17" s="3" t="n">
        <v>26055</v>
      </c>
      <c r="F17" s="30" t="n">
        <v>26055</v>
      </c>
      <c r="G17" s="46" t="b">
        <v>1</v>
      </c>
      <c r="H17" s="19" t="n">
        <v>26055</v>
      </c>
      <c r="I17" s="46" t="b">
        <v>1</v>
      </c>
      <c r="J17" s="3" t="n">
        <v>43787</v>
      </c>
      <c r="K17" s="30" t="n">
        <v>43787</v>
      </c>
      <c r="L17" s="46" t="b">
        <v>1</v>
      </c>
      <c r="M17" s="19" t="n">
        <v>43787</v>
      </c>
      <c r="N17" s="46" t="b">
        <v>1</v>
      </c>
      <c r="O17" s="3" t="n">
        <v>44166</v>
      </c>
      <c r="P17" s="30" t="n">
        <v>44166</v>
      </c>
      <c r="Q17" s="46" t="b">
        <v>1</v>
      </c>
      <c r="R17" s="19" t="n">
        <v>44166</v>
      </c>
      <c r="S17" s="46" t="b">
        <v>1</v>
      </c>
      <c r="V17" s="47" t="b">
        <v>1</v>
      </c>
      <c r="X17" s="47" t="b">
        <v>1</v>
      </c>
      <c r="AA17" s="47" t="b">
        <v>1</v>
      </c>
      <c r="AC17" s="47" t="b">
        <v>1</v>
      </c>
      <c r="AD17" t="inlineStr">
        <is>
          <t>A</t>
        </is>
      </c>
      <c r="AE17" t="inlineStr">
        <is>
          <t>N</t>
        </is>
      </c>
      <c r="AF17" s="4" t="n">
        <v>0</v>
      </c>
      <c r="AG17" t="inlineStr">
        <is>
          <t>N</t>
        </is>
      </c>
      <c r="AH17" t="inlineStr">
        <is>
          <t>N</t>
        </is>
      </c>
      <c r="AI17" s="5" t="n">
        <v>8719.129999999999</v>
      </c>
      <c r="AJ17" s="6" t="n">
        <v>2080</v>
      </c>
      <c r="AK17" s="35" t="n">
        <v>2080.08</v>
      </c>
      <c r="AL17" s="35">
        <f>IF(AND(ISNUMBER($AK$17), ISNUMBER($AJ$17)), IF(($AK$17 - $AJ$17)&lt;=1, 0, ($AK$17 - $AJ$17)), "")</f>
        <v/>
      </c>
      <c r="AM17" s="6" t="n">
        <v>5</v>
      </c>
      <c r="AN17" s="24" t="n">
        <v>4</v>
      </c>
      <c r="AO17" s="48" t="b">
        <v>1</v>
      </c>
      <c r="AP17" s="5" t="n">
        <v>117868.4</v>
      </c>
      <c r="AQ17" s="41" t="n">
        <v>117868.4</v>
      </c>
      <c r="AR17" s="41">
        <f>$AQ$17-$AP$17</f>
        <v/>
      </c>
      <c r="AS17" s="5" t="n">
        <v>117868.4</v>
      </c>
      <c r="AT17" s="5" t="n">
        <v>5492.61</v>
      </c>
      <c r="AU17" s="41" t="n">
        <v>5492.61</v>
      </c>
      <c r="AV17" s="41">
        <f>$AU$17-$AT$17</f>
        <v/>
      </c>
      <c r="AW17" s="5" t="n">
        <v>0</v>
      </c>
      <c r="AX17" s="41" t="n">
        <v>0</v>
      </c>
      <c r="AY17" s="41">
        <f>$AX$17-$AW$17</f>
        <v/>
      </c>
      <c r="AZ17" s="5" t="n">
        <v>5492.61</v>
      </c>
      <c r="BA17" s="5" t="n">
        <v>0</v>
      </c>
      <c r="BB17" s="5" t="n">
        <v>5492.61</v>
      </c>
      <c r="BC17" s="5" t="n">
        <v>4394.1</v>
      </c>
      <c r="BD17" s="41" t="n">
        <v>4394.1</v>
      </c>
      <c r="BE17" s="41">
        <f>$BD$17-$BC$17</f>
        <v/>
      </c>
      <c r="BF17" s="5" t="n">
        <v>9886.709999999999</v>
      </c>
      <c r="BG17" s="5" t="n">
        <v>9886.709999999999</v>
      </c>
      <c r="BH17" t="inlineStr">
        <is>
          <t xml:space="preserve"> Match=0 but Roth or Deferral &gt;0. </t>
        </is>
      </c>
      <c r="BI17" t="inlineStr">
        <is>
          <t>Processed</t>
        </is>
      </c>
    </row>
    <row r="18">
      <c r="A18" t="n">
        <v>10</v>
      </c>
      <c r="B18" t="inlineStr">
        <is>
          <t>POLG</t>
        </is>
      </c>
      <c r="D18" t="inlineStr"/>
      <c r="E18" s="3" t="n">
        <v>33961</v>
      </c>
      <c r="F18" s="30" t="n">
        <v>33961</v>
      </c>
      <c r="G18" s="46" t="b">
        <v>1</v>
      </c>
      <c r="H18" s="19" t="n">
        <v>33961</v>
      </c>
      <c r="I18" s="46" t="b">
        <v>1</v>
      </c>
      <c r="J18" s="3" t="n">
        <v>44389</v>
      </c>
      <c r="K18" s="30" t="n">
        <v>44389</v>
      </c>
      <c r="L18" s="46" t="b">
        <v>1</v>
      </c>
      <c r="M18" s="19" t="n">
        <v>44389</v>
      </c>
      <c r="N18" s="46" t="b">
        <v>1</v>
      </c>
      <c r="O18" s="3" t="n">
        <v>44956</v>
      </c>
      <c r="P18" s="30" t="n">
        <v>44956</v>
      </c>
      <c r="Q18" s="46" t="b">
        <v>1</v>
      </c>
      <c r="R18" s="19" t="n">
        <v>44956</v>
      </c>
      <c r="S18" s="46" t="b">
        <v>1</v>
      </c>
      <c r="U18" s="33" t="n">
        <v>44596</v>
      </c>
      <c r="V18" s="50" t="b">
        <v>0</v>
      </c>
      <c r="W18" s="22" t="n">
        <v>44596</v>
      </c>
      <c r="X18" s="50" t="b">
        <v>0</v>
      </c>
      <c r="Y18" s="3" t="n">
        <v>44956</v>
      </c>
      <c r="Z18" s="30" t="n">
        <v>44956</v>
      </c>
      <c r="AA18" s="46" t="b">
        <v>1</v>
      </c>
      <c r="AB18" s="19" t="n">
        <v>44956</v>
      </c>
      <c r="AC18" s="46" t="b">
        <v>1</v>
      </c>
      <c r="AD18" t="inlineStr">
        <is>
          <t>A</t>
        </is>
      </c>
      <c r="AE18" t="inlineStr">
        <is>
          <t>N</t>
        </is>
      </c>
      <c r="AF18" s="4" t="n">
        <v>0</v>
      </c>
      <c r="AG18" t="inlineStr">
        <is>
          <t>N</t>
        </is>
      </c>
      <c r="AH18" t="inlineStr">
        <is>
          <t>N</t>
        </is>
      </c>
      <c r="AI18" s="5" t="n">
        <v>4864.11</v>
      </c>
      <c r="AJ18" s="6" t="n">
        <v>2097</v>
      </c>
      <c r="AK18" s="35" t="n">
        <v>2097.17</v>
      </c>
      <c r="AL18" s="35">
        <f>IF(AND(ISNUMBER($AK$18), ISNUMBER($AJ$18)), IF(($AK$18 - $AJ$18)&lt;=1, 0, ($AK$18 - $AJ$18)), "")</f>
        <v/>
      </c>
      <c r="AM18" s="6" t="n">
        <v>2</v>
      </c>
      <c r="AN18" s="24" t="n">
        <v>1</v>
      </c>
      <c r="AO18" s="48" t="b">
        <v>1</v>
      </c>
      <c r="AP18" s="5" t="n">
        <v>72990.38</v>
      </c>
      <c r="AQ18" s="41" t="n">
        <v>72990.38</v>
      </c>
      <c r="AR18" s="41">
        <f>$AQ$18-$AP$18</f>
        <v/>
      </c>
      <c r="AS18" s="5" t="n">
        <v>72990.38</v>
      </c>
      <c r="AT18" s="5" t="n">
        <v>1299.58</v>
      </c>
      <c r="AU18" s="41" t="n">
        <v>1299.58</v>
      </c>
      <c r="AV18" s="41">
        <f>$AU$18-$AT$18</f>
        <v/>
      </c>
      <c r="AW18" s="5" t="n">
        <v>0</v>
      </c>
      <c r="AX18" s="41" t="n">
        <v>0</v>
      </c>
      <c r="AY18" s="41">
        <f>$AX$18-$AW$18</f>
        <v/>
      </c>
      <c r="AZ18" s="5" t="n">
        <v>1299.58</v>
      </c>
      <c r="BA18" s="5" t="n">
        <v>0</v>
      </c>
      <c r="BB18" s="5" t="n">
        <v>1299.58</v>
      </c>
      <c r="BC18" s="5" t="n">
        <v>1299.58</v>
      </c>
      <c r="BD18" s="41" t="n">
        <v>1542.23</v>
      </c>
      <c r="BE18" s="41">
        <f>$BD$18-$BC$18</f>
        <v/>
      </c>
      <c r="BF18" s="5" t="n">
        <v>2599.16</v>
      </c>
      <c r="BG18" s="5" t="n">
        <v>2599.16</v>
      </c>
      <c r="BH18" t="inlineStr">
        <is>
          <t xml:space="preserve"> Match=0 but Roth or Deferral &gt;0. </t>
        </is>
      </c>
      <c r="BI18" t="inlineStr">
        <is>
          <t>Processed</t>
        </is>
      </c>
    </row>
    <row r="19">
      <c r="A19" t="n">
        <v>11</v>
      </c>
      <c r="B19" t="inlineStr">
        <is>
          <t>EDCF</t>
        </is>
      </c>
      <c r="D19" t="inlineStr"/>
      <c r="E19" s="3" t="n">
        <v>35703</v>
      </c>
      <c r="F19" s="30" t="n">
        <v>35703</v>
      </c>
      <c r="G19" s="46" t="b">
        <v>1</v>
      </c>
      <c r="H19" s="19" t="n">
        <v>35703</v>
      </c>
      <c r="I19" s="46" t="b">
        <v>1</v>
      </c>
      <c r="J19" s="3" t="n">
        <v>44459</v>
      </c>
      <c r="K19" s="30" t="n">
        <v>44459</v>
      </c>
      <c r="L19" s="46" t="b">
        <v>1</v>
      </c>
      <c r="M19" s="19" t="n">
        <v>44459</v>
      </c>
      <c r="N19" s="46" t="b">
        <v>1</v>
      </c>
      <c r="O19" s="3" t="n">
        <v>44835</v>
      </c>
      <c r="P19" s="30" t="n">
        <v>44835</v>
      </c>
      <c r="Q19" s="46" t="b">
        <v>1</v>
      </c>
      <c r="R19" s="19" t="n">
        <v>44835</v>
      </c>
      <c r="S19" s="46" t="b">
        <v>1</v>
      </c>
      <c r="V19" s="47" t="b">
        <v>1</v>
      </c>
      <c r="X19" s="47" t="b">
        <v>1</v>
      </c>
      <c r="AA19" s="47" t="b">
        <v>1</v>
      </c>
      <c r="AC19" s="47" t="b">
        <v>1</v>
      </c>
      <c r="AD19" t="inlineStr">
        <is>
          <t>A</t>
        </is>
      </c>
      <c r="AE19" t="inlineStr">
        <is>
          <t>N</t>
        </is>
      </c>
      <c r="AF19" s="4" t="n">
        <v>0</v>
      </c>
      <c r="AG19" t="inlineStr">
        <is>
          <t>N</t>
        </is>
      </c>
      <c r="AH19" t="inlineStr">
        <is>
          <t>N</t>
        </is>
      </c>
      <c r="AI19" s="5" t="n">
        <v>8556.84</v>
      </c>
      <c r="AJ19" s="6" t="n">
        <v>2334</v>
      </c>
      <c r="AK19" s="35" t="n">
        <v>2333.71</v>
      </c>
      <c r="AL19" s="35">
        <f>IF(AND(ISNUMBER($AK$19), ISNUMBER($AJ$19)), IF(($AK$19 - $AJ$19)&lt;=1, 0, ($AK$19 - $AJ$19)), "")</f>
        <v/>
      </c>
      <c r="AM19" s="6" t="n">
        <v>3</v>
      </c>
      <c r="AN19" s="24" t="n">
        <v>2</v>
      </c>
      <c r="AO19" s="48" t="b">
        <v>1</v>
      </c>
      <c r="AP19" s="5" t="n">
        <v>65988.34</v>
      </c>
      <c r="AQ19" s="41" t="n">
        <v>65988.34</v>
      </c>
      <c r="AR19" s="41">
        <f>$AQ$19-$AP$19</f>
        <v/>
      </c>
      <c r="AS19" s="5" t="n">
        <v>65988.34</v>
      </c>
      <c r="AT19" s="5" t="n">
        <v>643.38</v>
      </c>
      <c r="AU19" s="41" t="n">
        <v>643.38</v>
      </c>
      <c r="AV19" s="41">
        <f>$AU$19-$AT$19</f>
        <v/>
      </c>
      <c r="AW19" s="5" t="n">
        <v>643.38</v>
      </c>
      <c r="AX19" s="41" t="n">
        <v>643.38</v>
      </c>
      <c r="AY19" s="41">
        <f>$AX$19-$AW$19</f>
        <v/>
      </c>
      <c r="AZ19" s="5" t="n">
        <v>1286.76</v>
      </c>
      <c r="BA19" s="5" t="n">
        <v>0</v>
      </c>
      <c r="BB19" s="5" t="n">
        <v>1286.76</v>
      </c>
      <c r="BC19" s="5" t="n">
        <v>1286.71</v>
      </c>
      <c r="BD19" s="41" t="n">
        <v>1286.71</v>
      </c>
      <c r="BE19" s="41">
        <f>$BD$19-$BC$19</f>
        <v/>
      </c>
      <c r="BF19" s="5" t="n">
        <v>2573.47</v>
      </c>
      <c r="BG19" s="5" t="n">
        <v>2573.47</v>
      </c>
      <c r="BH19" t="inlineStr">
        <is>
          <t xml:space="preserve"> Match=0 but Roth or Deferral &gt;0. </t>
        </is>
      </c>
      <c r="BI19" t="inlineStr">
        <is>
          <t>Processed</t>
        </is>
      </c>
    </row>
    <row r="20">
      <c r="A20" t="n">
        <v>12</v>
      </c>
      <c r="B20" t="inlineStr">
        <is>
          <t>DRYU</t>
        </is>
      </c>
      <c r="D20" t="inlineStr"/>
      <c r="E20" s="3" t="n">
        <v>26974</v>
      </c>
      <c r="F20" s="30" t="n">
        <v>26974</v>
      </c>
      <c r="G20" s="46" t="b">
        <v>1</v>
      </c>
      <c r="H20" s="19" t="n">
        <v>26974</v>
      </c>
      <c r="I20" s="46" t="b">
        <v>1</v>
      </c>
      <c r="J20" s="3" t="n">
        <v>44536</v>
      </c>
      <c r="K20" s="30" t="n">
        <v>44536</v>
      </c>
      <c r="L20" s="46" t="b">
        <v>1</v>
      </c>
      <c r="M20" s="19" t="n">
        <v>44536</v>
      </c>
      <c r="N20" s="46" t="b">
        <v>1</v>
      </c>
      <c r="O20" s="3" t="n">
        <v>44927</v>
      </c>
      <c r="P20" s="30" t="n">
        <v>44927</v>
      </c>
      <c r="Q20" s="46" t="b">
        <v>1</v>
      </c>
      <c r="R20" s="19" t="n">
        <v>44927</v>
      </c>
      <c r="S20" s="46" t="b">
        <v>1</v>
      </c>
      <c r="V20" s="47" t="b">
        <v>1</v>
      </c>
      <c r="X20" s="47" t="b">
        <v>1</v>
      </c>
      <c r="AA20" s="47" t="b">
        <v>1</v>
      </c>
      <c r="AC20" s="47" t="b">
        <v>1</v>
      </c>
      <c r="AD20" t="inlineStr">
        <is>
          <t>A</t>
        </is>
      </c>
      <c r="AE20" t="inlineStr">
        <is>
          <t>N</t>
        </is>
      </c>
      <c r="AF20" s="4" t="n">
        <v>0</v>
      </c>
      <c r="AG20" t="inlineStr">
        <is>
          <t>N</t>
        </is>
      </c>
      <c r="AH20" t="inlineStr">
        <is>
          <t>N</t>
        </is>
      </c>
      <c r="AI20" s="5" t="n">
        <v>9551.219999999999</v>
      </c>
      <c r="AJ20" s="6" t="n">
        <v>2080</v>
      </c>
      <c r="AK20" s="35" t="n">
        <v>2080.08</v>
      </c>
      <c r="AL20" s="35">
        <f>IF(AND(ISNUMBER($AK$20), ISNUMBER($AJ$20)), IF(($AK$20 - $AJ$20)&lt;=1, 0, ($AK$20 - $AJ$20)), "")</f>
        <v/>
      </c>
      <c r="AM20" s="6" t="n">
        <v>3</v>
      </c>
      <c r="AN20" s="24" t="n">
        <v>2</v>
      </c>
      <c r="AO20" s="48" t="b">
        <v>1</v>
      </c>
      <c r="AP20" s="5" t="n">
        <v>73613.05</v>
      </c>
      <c r="AQ20" s="41" t="n">
        <v>73613.05</v>
      </c>
      <c r="AR20" s="41">
        <f>$AQ$20-$AP$20</f>
        <v/>
      </c>
      <c r="AS20" s="5" t="n">
        <v>73613.05</v>
      </c>
      <c r="AT20" s="5" t="n">
        <v>2016.77</v>
      </c>
      <c r="AU20" s="41" t="n">
        <v>2016.77</v>
      </c>
      <c r="AV20" s="41">
        <f>$AU$20-$AT$20</f>
        <v/>
      </c>
      <c r="AW20" s="5" t="n">
        <v>0</v>
      </c>
      <c r="AX20" s="41" t="n">
        <v>0</v>
      </c>
      <c r="AY20" s="41">
        <f>$AX$20-$AW$20</f>
        <v/>
      </c>
      <c r="AZ20" s="5" t="n">
        <v>2016.77</v>
      </c>
      <c r="BA20" s="5" t="n">
        <v>0</v>
      </c>
      <c r="BB20" s="5" t="n">
        <v>2016.77</v>
      </c>
      <c r="BC20" s="5" t="n">
        <v>2016.77</v>
      </c>
      <c r="BD20" s="41" t="n">
        <v>2016.77</v>
      </c>
      <c r="BE20" s="41">
        <f>$BD$20-$BC$20</f>
        <v/>
      </c>
      <c r="BF20" s="5" t="n">
        <v>4033.54</v>
      </c>
      <c r="BG20" s="5" t="n">
        <v>4033.54</v>
      </c>
      <c r="BH20" t="inlineStr">
        <is>
          <t xml:space="preserve"> Match=0 but Roth or Deferral &gt;0. </t>
        </is>
      </c>
      <c r="BI20" t="inlineStr">
        <is>
          <t>Processed</t>
        </is>
      </c>
    </row>
    <row r="21">
      <c r="A21" t="n">
        <v>13</v>
      </c>
      <c r="B21" t="inlineStr">
        <is>
          <t>EDCS</t>
        </is>
      </c>
      <c r="D21" t="inlineStr"/>
      <c r="E21" s="3" t="n">
        <v>36377</v>
      </c>
      <c r="F21" s="30" t="n">
        <v>36377</v>
      </c>
      <c r="G21" s="46" t="b">
        <v>1</v>
      </c>
      <c r="H21" s="19" t="n">
        <v>36377</v>
      </c>
      <c r="I21" s="46" t="b">
        <v>1</v>
      </c>
      <c r="J21" s="3" t="n">
        <v>44677</v>
      </c>
      <c r="K21" s="30" t="n">
        <v>44677</v>
      </c>
      <c r="L21" s="46" t="b">
        <v>1</v>
      </c>
      <c r="M21" s="19" t="n">
        <v>44677</v>
      </c>
      <c r="N21" s="46" t="b">
        <v>1</v>
      </c>
      <c r="O21" s="3" t="n">
        <v>45047</v>
      </c>
      <c r="P21" s="30" t="n">
        <v>45047</v>
      </c>
      <c r="Q21" s="46" t="b">
        <v>1</v>
      </c>
      <c r="R21" s="19" t="n">
        <v>45047</v>
      </c>
      <c r="S21" s="46" t="b">
        <v>1</v>
      </c>
      <c r="V21" s="47" t="b">
        <v>1</v>
      </c>
      <c r="X21" s="47" t="b">
        <v>1</v>
      </c>
      <c r="AA21" s="47" t="b">
        <v>1</v>
      </c>
      <c r="AC21" s="47" t="b">
        <v>1</v>
      </c>
      <c r="AD21" t="inlineStr">
        <is>
          <t>A</t>
        </is>
      </c>
      <c r="AE21" t="inlineStr">
        <is>
          <t>N</t>
        </is>
      </c>
      <c r="AF21" s="4" t="n">
        <v>0</v>
      </c>
      <c r="AG21" t="inlineStr">
        <is>
          <t>N</t>
        </is>
      </c>
      <c r="AH21" t="inlineStr">
        <is>
          <t>N</t>
        </is>
      </c>
      <c r="AI21" s="5" t="n">
        <v>5593.74</v>
      </c>
      <c r="AJ21" s="6" t="n">
        <v>2087</v>
      </c>
      <c r="AK21" s="35" t="n">
        <v>2087.33</v>
      </c>
      <c r="AL21" s="35">
        <f>IF(AND(ISNUMBER($AK$21), ISNUMBER($AJ$21)), IF(($AK$21 - $AJ$21)&lt;=1, 0, ($AK$21 - $AJ$21)), "")</f>
        <v/>
      </c>
      <c r="AM21" s="6" t="n">
        <v>3</v>
      </c>
      <c r="AN21" s="24" t="n">
        <v>2</v>
      </c>
      <c r="AO21" s="48" t="b">
        <v>1</v>
      </c>
      <c r="AP21" s="5" t="n">
        <v>52774.44</v>
      </c>
      <c r="AQ21" s="41" t="n">
        <v>52774.44</v>
      </c>
      <c r="AR21" s="41">
        <f>$AQ$21-$AP$21</f>
        <v/>
      </c>
      <c r="AS21" s="5" t="n">
        <v>52774.44</v>
      </c>
      <c r="AT21" s="5" t="n">
        <v>1545.02</v>
      </c>
      <c r="AU21" s="41" t="n">
        <v>1545.02</v>
      </c>
      <c r="AV21" s="41">
        <f>$AU$21-$AT$21</f>
        <v/>
      </c>
      <c r="AW21" s="5" t="n">
        <v>0</v>
      </c>
      <c r="AX21" s="41" t="n">
        <v>0</v>
      </c>
      <c r="AY21" s="41">
        <f>$AX$21-$AW$21</f>
        <v/>
      </c>
      <c r="AZ21" s="5" t="n">
        <v>1545.02</v>
      </c>
      <c r="BA21" s="5" t="n">
        <v>0</v>
      </c>
      <c r="BB21" s="5" t="n">
        <v>1545.02</v>
      </c>
      <c r="BC21" s="5" t="n">
        <v>1533.86</v>
      </c>
      <c r="BD21" s="41" t="n">
        <v>1533.86</v>
      </c>
      <c r="BE21" s="41">
        <f>$BD$21-$BC$21</f>
        <v/>
      </c>
      <c r="BF21" s="5" t="n">
        <v>3078.88</v>
      </c>
      <c r="BG21" s="5" t="n">
        <v>3078.88</v>
      </c>
      <c r="BH21" t="inlineStr">
        <is>
          <t xml:space="preserve"> Match=0 but Roth or Deferral &gt;0. </t>
        </is>
      </c>
      <c r="BI21" t="inlineStr">
        <is>
          <t>Processed</t>
        </is>
      </c>
    </row>
    <row r="22">
      <c r="A22" t="n">
        <v>14</v>
      </c>
      <c r="B22" t="inlineStr">
        <is>
          <t>VCDE</t>
        </is>
      </c>
      <c r="D22" t="inlineStr"/>
      <c r="E22" s="3" t="n">
        <v>29364</v>
      </c>
      <c r="F22" s="30" t="n">
        <v>29364</v>
      </c>
      <c r="G22" s="46" t="b">
        <v>1</v>
      </c>
      <c r="H22" s="19" t="n">
        <v>29364</v>
      </c>
      <c r="I22" s="46" t="b">
        <v>1</v>
      </c>
      <c r="J22" s="3" t="n">
        <v>44866</v>
      </c>
      <c r="K22" s="30" t="n">
        <v>44866</v>
      </c>
      <c r="L22" s="46" t="b">
        <v>1</v>
      </c>
      <c r="M22" s="19" t="n">
        <v>44866</v>
      </c>
      <c r="N22" s="46" t="b">
        <v>1</v>
      </c>
      <c r="O22" s="3" t="n">
        <v>45231</v>
      </c>
      <c r="P22" s="30" t="n">
        <v>45231</v>
      </c>
      <c r="Q22" s="46" t="b">
        <v>1</v>
      </c>
      <c r="R22" s="19" t="n">
        <v>45231</v>
      </c>
      <c r="S22" s="46" t="b">
        <v>1</v>
      </c>
      <c r="V22" s="47" t="b">
        <v>1</v>
      </c>
      <c r="X22" s="47" t="b">
        <v>1</v>
      </c>
      <c r="AA22" s="47" t="b">
        <v>1</v>
      </c>
      <c r="AC22" s="47" t="b">
        <v>1</v>
      </c>
      <c r="AD22" t="inlineStr">
        <is>
          <t>A</t>
        </is>
      </c>
      <c r="AE22" t="inlineStr">
        <is>
          <t>N</t>
        </is>
      </c>
      <c r="AF22" s="4" t="n">
        <v>0</v>
      </c>
      <c r="AG22" t="inlineStr">
        <is>
          <t>N</t>
        </is>
      </c>
      <c r="AH22" t="inlineStr">
        <is>
          <t>N</t>
        </is>
      </c>
      <c r="AI22" s="5" t="n">
        <v>679.1900000000001</v>
      </c>
      <c r="AJ22" s="6" t="n">
        <v>2080</v>
      </c>
      <c r="AK22" s="35" t="n">
        <v>2080.08</v>
      </c>
      <c r="AL22" s="35">
        <f>IF(AND(ISNUMBER($AK$22), ISNUMBER($AJ$22)), IF(($AK$22 - $AJ$22)&lt;=1, 0, ($AK$22 - $AJ$22)), "")</f>
        <v/>
      </c>
      <c r="AM22" s="6" t="n">
        <v>2</v>
      </c>
      <c r="AN22" s="24" t="n">
        <v>1</v>
      </c>
      <c r="AO22" s="48" t="b">
        <v>1</v>
      </c>
      <c r="AP22" s="5" t="n">
        <v>91120.23</v>
      </c>
      <c r="AQ22" s="41" t="n">
        <v>91120.23</v>
      </c>
      <c r="AR22" s="41">
        <f>$AQ$22-$AP$22</f>
        <v/>
      </c>
      <c r="AS22" s="5" t="n">
        <v>91120.23</v>
      </c>
      <c r="AT22" s="5" t="n">
        <v>362.18</v>
      </c>
      <c r="AU22" s="41" t="n">
        <v>362.18</v>
      </c>
      <c r="AV22" s="41">
        <f>$AU$22-$AT$22</f>
        <v/>
      </c>
      <c r="AW22" s="5" t="n">
        <v>0</v>
      </c>
      <c r="AX22" s="41" t="n">
        <v>0</v>
      </c>
      <c r="AY22" s="41">
        <f>$AX$22-$AW$22</f>
        <v/>
      </c>
      <c r="AZ22" s="5" t="n">
        <v>362.18</v>
      </c>
      <c r="BA22" s="5" t="n">
        <v>0</v>
      </c>
      <c r="BB22" s="5" t="n">
        <v>362.18</v>
      </c>
      <c r="BC22" s="5" t="n">
        <v>316.92</v>
      </c>
      <c r="BD22" s="41" t="n">
        <v>316.92</v>
      </c>
      <c r="BE22" s="41">
        <f>$BD$22-$BC$22</f>
        <v/>
      </c>
      <c r="BF22" s="5" t="n">
        <v>679.1</v>
      </c>
      <c r="BG22" s="5" t="n">
        <v>679.1</v>
      </c>
      <c r="BH22" t="inlineStr">
        <is>
          <t xml:space="preserve"> Match=0 but Roth or Deferral &gt;0. </t>
        </is>
      </c>
      <c r="BI22" t="inlineStr">
        <is>
          <t>Processed</t>
        </is>
      </c>
    </row>
    <row r="23">
      <c r="A23" t="n">
        <v>15</v>
      </c>
      <c r="B23" t="inlineStr">
        <is>
          <t>QWES</t>
        </is>
      </c>
      <c r="D23" t="inlineStr"/>
      <c r="E23" s="3" t="n">
        <v>35141</v>
      </c>
      <c r="F23" s="30" t="n">
        <v>35141</v>
      </c>
      <c r="G23" s="46" t="b">
        <v>1</v>
      </c>
      <c r="H23" s="19" t="n">
        <v>35141</v>
      </c>
      <c r="I23" s="46" t="b">
        <v>1</v>
      </c>
      <c r="J23" s="3" t="n">
        <v>44867</v>
      </c>
      <c r="K23" s="30" t="n">
        <v>44867</v>
      </c>
      <c r="L23" s="46" t="b">
        <v>1</v>
      </c>
      <c r="M23" s="19" t="n">
        <v>44867</v>
      </c>
      <c r="N23" s="46" t="b">
        <v>1</v>
      </c>
      <c r="O23" s="3" t="n">
        <v>45261</v>
      </c>
      <c r="P23" s="30" t="n">
        <v>45261</v>
      </c>
      <c r="Q23" s="46" t="b">
        <v>1</v>
      </c>
      <c r="R23" s="19" t="n">
        <v>45261</v>
      </c>
      <c r="S23" s="46" t="b">
        <v>1</v>
      </c>
      <c r="V23" s="47" t="b">
        <v>1</v>
      </c>
      <c r="X23" s="47" t="b">
        <v>1</v>
      </c>
      <c r="AA23" s="47" t="b">
        <v>1</v>
      </c>
      <c r="AC23" s="47" t="b">
        <v>1</v>
      </c>
      <c r="AD23" t="inlineStr">
        <is>
          <t>A</t>
        </is>
      </c>
      <c r="AE23" t="inlineStr">
        <is>
          <t>N</t>
        </is>
      </c>
      <c r="AF23" s="4" t="n">
        <v>0</v>
      </c>
      <c r="AG23" t="inlineStr">
        <is>
          <t>N</t>
        </is>
      </c>
      <c r="AH23" t="inlineStr">
        <is>
          <t>N</t>
        </is>
      </c>
      <c r="AI23" s="5" t="n">
        <v>3035.18</v>
      </c>
      <c r="AJ23" s="6" t="n">
        <v>1838</v>
      </c>
      <c r="AK23" s="35" t="n">
        <v>1837.61</v>
      </c>
      <c r="AL23" s="35">
        <f>IF(AND(ISNUMBER($AK$23), ISNUMBER($AJ$23)), IF(($AK$23 - $AJ$23)&lt;=1, 0, ($AK$23 - $AJ$23)), "")</f>
        <v/>
      </c>
      <c r="AM23" s="6" t="n">
        <v>2</v>
      </c>
      <c r="AN23" s="24" t="n">
        <v>1</v>
      </c>
      <c r="AO23" s="48" t="b">
        <v>1</v>
      </c>
      <c r="AP23" s="5" t="n">
        <v>76657.81</v>
      </c>
      <c r="AQ23" s="41" t="n">
        <v>76657.81</v>
      </c>
      <c r="AR23" s="41">
        <f>$AQ$23-$AP$23</f>
        <v/>
      </c>
      <c r="AS23" s="5" t="n">
        <v>76657.81</v>
      </c>
      <c r="AT23" s="5" t="n">
        <v>1605.31</v>
      </c>
      <c r="AU23" s="41" t="n">
        <v>1605.31</v>
      </c>
      <c r="AV23" s="41">
        <f>$AU$23-$AT$23</f>
        <v/>
      </c>
      <c r="AW23" s="5" t="n">
        <v>0</v>
      </c>
      <c r="AX23" s="41" t="n">
        <v>0</v>
      </c>
      <c r="AY23" s="41">
        <f>$AX$23-$AW$23</f>
        <v/>
      </c>
      <c r="AZ23" s="5" t="n">
        <v>1605.31</v>
      </c>
      <c r="BA23" s="5" t="n">
        <v>0</v>
      </c>
      <c r="BB23" s="5" t="n">
        <v>1605.31</v>
      </c>
      <c r="BC23" s="5" t="n">
        <v>1404.64</v>
      </c>
      <c r="BD23" s="41" t="n">
        <v>1742.48</v>
      </c>
      <c r="BE23" s="41">
        <f>$BD$23-$BC$23</f>
        <v/>
      </c>
      <c r="BF23" s="5" t="n">
        <v>3009.95</v>
      </c>
      <c r="BG23" s="5" t="n">
        <v>3009.95</v>
      </c>
      <c r="BH23" t="inlineStr">
        <is>
          <t xml:space="preserve"> Match=0 but Roth or Deferral &gt;0. </t>
        </is>
      </c>
      <c r="BI23" t="inlineStr">
        <is>
          <t>Processed</t>
        </is>
      </c>
    </row>
    <row r="24">
      <c r="A24" t="n">
        <v>16</v>
      </c>
      <c r="B24" t="inlineStr">
        <is>
          <t>QASW</t>
        </is>
      </c>
      <c r="D24" t="inlineStr"/>
      <c r="E24" s="3" t="n">
        <v>33700</v>
      </c>
      <c r="F24" s="30" t="n">
        <v>33700</v>
      </c>
      <c r="G24" s="46" t="b">
        <v>1</v>
      </c>
      <c r="H24" s="19" t="n">
        <v>33700</v>
      </c>
      <c r="I24" s="46" t="b">
        <v>1</v>
      </c>
      <c r="J24" s="3" t="n">
        <v>44922</v>
      </c>
      <c r="K24" s="30" t="n">
        <v>44922</v>
      </c>
      <c r="L24" s="46" t="b">
        <v>1</v>
      </c>
      <c r="M24" s="19" t="n">
        <v>44922</v>
      </c>
      <c r="N24" s="46" t="b">
        <v>1</v>
      </c>
      <c r="O24" s="3" t="n">
        <v>45292</v>
      </c>
      <c r="P24" s="30" t="n">
        <v>45292</v>
      </c>
      <c r="Q24" s="46" t="b">
        <v>1</v>
      </c>
      <c r="R24" s="19"/>
      <c r="S24" s="49" t="b">
        <v>0</v>
      </c>
      <c r="V24" s="47" t="b">
        <v>1</v>
      </c>
      <c r="X24" s="47" t="b">
        <v>1</v>
      </c>
      <c r="AA24" s="47" t="b">
        <v>1</v>
      </c>
      <c r="AC24" s="47" t="b">
        <v>1</v>
      </c>
      <c r="AD24" t="inlineStr">
        <is>
          <t>A</t>
        </is>
      </c>
      <c r="AE24" t="inlineStr">
        <is>
          <t>N</t>
        </is>
      </c>
      <c r="AF24" s="4" t="n">
        <v>0</v>
      </c>
      <c r="AG24" t="inlineStr">
        <is>
          <t>N</t>
        </is>
      </c>
      <c r="AH24" t="inlineStr">
        <is>
          <t>N</t>
        </is>
      </c>
      <c r="AI24" s="5" t="n">
        <v>1250.99</v>
      </c>
      <c r="AJ24" s="6" t="n">
        <v>1524</v>
      </c>
      <c r="AK24" s="35" t="n">
        <v>1524.09</v>
      </c>
      <c r="AL24" s="35">
        <f>IF(AND(ISNUMBER($AK$24), ISNUMBER($AJ$24)), IF(($AK$24 - $AJ$24)&lt;=1, 0, ($AK$24 - $AJ$24)), "")</f>
        <v/>
      </c>
      <c r="AM24" s="6" t="n">
        <v>2</v>
      </c>
      <c r="AN24" s="24" t="n">
        <v>1</v>
      </c>
      <c r="AO24" s="48" t="b">
        <v>1</v>
      </c>
      <c r="AP24" s="5" t="n">
        <v>36138.12</v>
      </c>
      <c r="AQ24" s="41" t="n">
        <v>36138.12</v>
      </c>
      <c r="AR24" s="41">
        <f>$AQ$24-$AP$24</f>
        <v/>
      </c>
      <c r="AS24" s="5" t="n">
        <v>36138.12</v>
      </c>
      <c r="AT24" s="5" t="n">
        <v>619.92</v>
      </c>
      <c r="AU24" s="41" t="n">
        <v>619.92</v>
      </c>
      <c r="AV24" s="41">
        <f>$AU$24-$AT$24</f>
        <v/>
      </c>
      <c r="AW24" s="5" t="n">
        <v>0</v>
      </c>
      <c r="AX24" s="41" t="n">
        <v>0</v>
      </c>
      <c r="AY24" s="41">
        <f>$AX$24-$AW$24</f>
        <v/>
      </c>
      <c r="AZ24" s="5" t="n">
        <v>619.92</v>
      </c>
      <c r="BA24" s="5" t="n">
        <v>0</v>
      </c>
      <c r="BB24" s="5" t="n">
        <v>619.92</v>
      </c>
      <c r="BC24" s="5" t="n">
        <v>619.92</v>
      </c>
      <c r="BD24" s="41" t="n">
        <v>715.4</v>
      </c>
      <c r="BE24" s="41">
        <f>$BD$24-$BC$24</f>
        <v/>
      </c>
      <c r="BF24" s="5" t="n">
        <v>1239.84</v>
      </c>
      <c r="BG24" s="5" t="n">
        <v>1239.84</v>
      </c>
      <c r="BH24" t="inlineStr">
        <is>
          <t xml:space="preserve"> New Entrant /  Match=0 but Roth or Deferral &gt;0. </t>
        </is>
      </c>
      <c r="BI24" t="inlineStr">
        <is>
          <t>Processed</t>
        </is>
      </c>
    </row>
    <row r="25">
      <c r="A25" t="n">
        <v>17</v>
      </c>
      <c r="B25" t="inlineStr">
        <is>
          <t>ERTY</t>
        </is>
      </c>
      <c r="D25" t="inlineStr"/>
      <c r="E25" s="3" t="n">
        <v>32498</v>
      </c>
      <c r="F25" s="30" t="n">
        <v>32498</v>
      </c>
      <c r="G25" s="46" t="b">
        <v>1</v>
      </c>
      <c r="H25" s="19" t="n">
        <v>32498</v>
      </c>
      <c r="I25" s="46" t="b">
        <v>1</v>
      </c>
      <c r="J25" s="3" t="n">
        <v>44939</v>
      </c>
      <c r="K25" s="30" t="n">
        <v>44939</v>
      </c>
      <c r="L25" s="46" t="b">
        <v>1</v>
      </c>
      <c r="M25" s="19" t="n">
        <v>44939</v>
      </c>
      <c r="N25" s="46" t="b">
        <v>1</v>
      </c>
      <c r="O25" s="3" t="n">
        <v>45323</v>
      </c>
      <c r="P25" s="30" t="n">
        <v>45323</v>
      </c>
      <c r="Q25" s="46" t="b">
        <v>1</v>
      </c>
      <c r="R25" s="19"/>
      <c r="S25" s="49" t="b">
        <v>0</v>
      </c>
      <c r="V25" s="47" t="b">
        <v>1</v>
      </c>
      <c r="X25" s="47" t="b">
        <v>1</v>
      </c>
      <c r="AA25" s="47" t="b">
        <v>1</v>
      </c>
      <c r="AC25" s="47" t="b">
        <v>1</v>
      </c>
      <c r="AD25" t="inlineStr">
        <is>
          <t>A</t>
        </is>
      </c>
      <c r="AE25" t="inlineStr">
        <is>
          <t>N</t>
        </is>
      </c>
      <c r="AF25" s="4" t="n">
        <v>0</v>
      </c>
      <c r="AG25" t="inlineStr">
        <is>
          <t>N</t>
        </is>
      </c>
      <c r="AH25" t="inlineStr">
        <is>
          <t>N</t>
        </is>
      </c>
      <c r="AI25" s="5" t="n">
        <v>245.54</v>
      </c>
      <c r="AJ25" s="6" t="n">
        <v>2080</v>
      </c>
      <c r="AK25" s="35" t="n">
        <v>2080.08</v>
      </c>
      <c r="AL25" s="35">
        <f>IF(AND(ISNUMBER($AK$25), ISNUMBER($AJ$25)), IF(($AK$25 - $AJ$25)&lt;=1, 0, ($AK$25 - $AJ$25)), "")</f>
        <v/>
      </c>
      <c r="AM25" s="6" t="n">
        <v>2</v>
      </c>
      <c r="AN25" s="24" t="n">
        <v>1</v>
      </c>
      <c r="AO25" s="48" t="b">
        <v>1</v>
      </c>
      <c r="AP25" s="5" t="n">
        <v>89376.71000000001</v>
      </c>
      <c r="AQ25" s="41" t="n">
        <v>89376.71000000001</v>
      </c>
      <c r="AR25" s="41">
        <f>$AQ$25-$AP$25</f>
        <v/>
      </c>
      <c r="AS25" s="5" t="n">
        <v>89376.71000000001</v>
      </c>
      <c r="AT25" s="5" t="n">
        <v>120.86</v>
      </c>
      <c r="AU25" s="41" t="n">
        <v>120.86</v>
      </c>
      <c r="AV25" s="41">
        <f>$AU$25-$AT$25</f>
        <v/>
      </c>
      <c r="AW25" s="5" t="n">
        <v>0</v>
      </c>
      <c r="AX25" s="41" t="n">
        <v>0</v>
      </c>
      <c r="AY25" s="41">
        <f>$AX$25-$AW$25</f>
        <v/>
      </c>
      <c r="AZ25" s="5" t="n">
        <v>120.86</v>
      </c>
      <c r="BA25" s="5" t="n">
        <v>0</v>
      </c>
      <c r="BB25" s="5" t="n">
        <v>120.86</v>
      </c>
      <c r="BC25" s="5" t="n">
        <v>120.86</v>
      </c>
      <c r="BD25" s="41" t="n">
        <v>120.86</v>
      </c>
      <c r="BE25" s="41">
        <f>$BD$25-$BC$25</f>
        <v/>
      </c>
      <c r="BF25" s="5" t="n">
        <v>241.72</v>
      </c>
      <c r="BG25" s="5" t="n">
        <v>241.72</v>
      </c>
      <c r="BH25" t="inlineStr">
        <is>
          <t xml:space="preserve"> New Entrant /  Match=0 but Roth or Deferral &gt;0. </t>
        </is>
      </c>
      <c r="BI25" t="inlineStr">
        <is>
          <t>Processed</t>
        </is>
      </c>
    </row>
    <row r="26">
      <c r="A26" t="n">
        <v>18</v>
      </c>
      <c r="B26" t="inlineStr">
        <is>
          <t>PLMN</t>
        </is>
      </c>
      <c r="D26" t="inlineStr"/>
      <c r="E26" s="3" t="n">
        <v>36171</v>
      </c>
      <c r="F26" s="30" t="n">
        <v>36171</v>
      </c>
      <c r="G26" s="46" t="b">
        <v>1</v>
      </c>
      <c r="H26" s="19" t="n">
        <v>36171</v>
      </c>
      <c r="I26" s="46" t="b">
        <v>1</v>
      </c>
      <c r="J26" s="3" t="n">
        <v>44977</v>
      </c>
      <c r="K26" s="30" t="n">
        <v>44977</v>
      </c>
      <c r="L26" s="46" t="b">
        <v>1</v>
      </c>
      <c r="M26" s="19" t="n">
        <v>44977</v>
      </c>
      <c r="N26" s="46" t="b">
        <v>1</v>
      </c>
      <c r="O26" s="3" t="n">
        <v>45352</v>
      </c>
      <c r="P26" s="30" t="n">
        <v>45352</v>
      </c>
      <c r="Q26" s="46" t="b">
        <v>1</v>
      </c>
      <c r="R26" s="19"/>
      <c r="S26" s="49" t="b">
        <v>0</v>
      </c>
      <c r="V26" s="47" t="b">
        <v>1</v>
      </c>
      <c r="X26" s="47" t="b">
        <v>1</v>
      </c>
      <c r="AA26" s="47" t="b">
        <v>1</v>
      </c>
      <c r="AC26" s="47" t="b">
        <v>1</v>
      </c>
      <c r="AD26" t="inlineStr">
        <is>
          <t>A</t>
        </is>
      </c>
      <c r="AE26" t="inlineStr">
        <is>
          <t>N</t>
        </is>
      </c>
      <c r="AF26" s="4" t="n">
        <v>0</v>
      </c>
      <c r="AG26" t="inlineStr">
        <is>
          <t>N</t>
        </is>
      </c>
      <c r="AH26" t="inlineStr">
        <is>
          <t>N</t>
        </is>
      </c>
      <c r="AI26" s="5" t="n">
        <v>2811.82</v>
      </c>
      <c r="AJ26" s="6" t="n">
        <v>2193</v>
      </c>
      <c r="AK26" s="35" t="n">
        <v>2193.03</v>
      </c>
      <c r="AL26" s="35">
        <f>IF(AND(ISNUMBER($AK$26), ISNUMBER($AJ$26)), IF(($AK$26 - $AJ$26)&lt;=1, 0, ($AK$26 - $AJ$26)), "")</f>
        <v/>
      </c>
      <c r="AM26" s="6" t="n">
        <v>2</v>
      </c>
      <c r="AN26" s="24" t="n">
        <v>1</v>
      </c>
      <c r="AO26" s="48" t="b">
        <v>1</v>
      </c>
      <c r="AP26" s="5" t="n">
        <v>65849.06</v>
      </c>
      <c r="AQ26" s="41" t="n">
        <v>65849.06</v>
      </c>
      <c r="AR26" s="41">
        <f>$AQ$26-$AP$26</f>
        <v/>
      </c>
      <c r="AS26" s="5" t="n">
        <v>65849.06</v>
      </c>
      <c r="AT26" s="5" t="n">
        <v>88.55</v>
      </c>
      <c r="AU26" s="41" t="n">
        <v>88.55</v>
      </c>
      <c r="AV26" s="41">
        <f>$AU$26-$AT$26</f>
        <v/>
      </c>
      <c r="AW26" s="5" t="n">
        <v>1450.58</v>
      </c>
      <c r="AX26" s="41" t="n">
        <v>1450.58</v>
      </c>
      <c r="AY26" s="41">
        <f>$AX$26-$AW$26</f>
        <v/>
      </c>
      <c r="AZ26" s="5" t="n">
        <v>1539.13</v>
      </c>
      <c r="BA26" s="5" t="n">
        <v>0</v>
      </c>
      <c r="BB26" s="5" t="n">
        <v>1539.13</v>
      </c>
      <c r="BC26" s="5" t="n">
        <v>1255.67</v>
      </c>
      <c r="BD26" s="41" t="n">
        <v>1255.67</v>
      </c>
      <c r="BE26" s="41">
        <f>$BD$26-$BC$26</f>
        <v/>
      </c>
      <c r="BF26" s="5" t="n">
        <v>2794.8</v>
      </c>
      <c r="BG26" s="5" t="n">
        <v>2794.8</v>
      </c>
      <c r="BH26" t="inlineStr">
        <is>
          <t xml:space="preserve"> New Entrant /  Match=0 but Roth or Deferral &gt;0. </t>
        </is>
      </c>
      <c r="BI26" t="inlineStr">
        <is>
          <t>Processed</t>
        </is>
      </c>
    </row>
    <row r="27">
      <c r="A27" t="n">
        <v>19</v>
      </c>
      <c r="B27" t="inlineStr">
        <is>
          <t>ZXCD</t>
        </is>
      </c>
      <c r="D27" t="inlineStr"/>
      <c r="E27" s="3" t="n">
        <v>32496</v>
      </c>
      <c r="F27" s="30" t="n">
        <v>32496</v>
      </c>
      <c r="G27" s="46" t="b">
        <v>1</v>
      </c>
      <c r="H27" s="19" t="n">
        <v>32496</v>
      </c>
      <c r="I27" s="46" t="b">
        <v>1</v>
      </c>
      <c r="J27" s="3" t="n">
        <v>45195</v>
      </c>
      <c r="K27" s="30" t="n">
        <v>45195</v>
      </c>
      <c r="L27" s="46" t="b">
        <v>1</v>
      </c>
      <c r="M27" s="19" t="n">
        <v>45195</v>
      </c>
      <c r="N27" s="46" t="b">
        <v>1</v>
      </c>
      <c r="O27" s="3" t="n">
        <v>45413</v>
      </c>
      <c r="P27" s="30" t="n">
        <v>45413</v>
      </c>
      <c r="Q27" s="46" t="b">
        <v>1</v>
      </c>
      <c r="R27" s="19"/>
      <c r="S27" s="49" t="b">
        <v>0</v>
      </c>
      <c r="V27" s="47" t="b">
        <v>1</v>
      </c>
      <c r="X27" s="47" t="b">
        <v>1</v>
      </c>
      <c r="AA27" s="47" t="b">
        <v>1</v>
      </c>
      <c r="AC27" s="47" t="b">
        <v>1</v>
      </c>
      <c r="AD27" t="inlineStr">
        <is>
          <t>A</t>
        </is>
      </c>
      <c r="AE27" t="inlineStr">
        <is>
          <t>N</t>
        </is>
      </c>
      <c r="AF27" s="4" t="n">
        <v>0</v>
      </c>
      <c r="AG27" t="inlineStr">
        <is>
          <t>N</t>
        </is>
      </c>
      <c r="AH27" t="inlineStr">
        <is>
          <t>N</t>
        </is>
      </c>
      <c r="AI27" s="5" t="n">
        <v>143135.36</v>
      </c>
      <c r="AJ27" s="6" t="n">
        <v>2080</v>
      </c>
      <c r="AK27" s="35" t="n">
        <v>2080.08</v>
      </c>
      <c r="AL27" s="35">
        <f>IF(AND(ISNUMBER($AK$27), ISNUMBER($AJ$27)), IF(($AK$27 - $AJ$27)&lt;=1, 0, ($AK$27 - $AJ$27)), "")</f>
        <v/>
      </c>
      <c r="AM27" s="6" t="n">
        <v>1</v>
      </c>
      <c r="AN27" s="24" t="n">
        <v>0</v>
      </c>
      <c r="AO27" s="48" t="b">
        <v>1</v>
      </c>
      <c r="AP27" s="5" t="n">
        <v>226578.34</v>
      </c>
      <c r="AQ27" s="41" t="n">
        <v>226578.34</v>
      </c>
      <c r="AR27" s="41">
        <f>$AQ$27-$AP$27</f>
        <v/>
      </c>
      <c r="AS27" s="5" t="n">
        <v>226578.34</v>
      </c>
      <c r="AT27" s="5" t="n">
        <v>0</v>
      </c>
      <c r="AU27" s="41" t="n">
        <v>0</v>
      </c>
      <c r="AV27" s="41">
        <f>$AU$27-$AT$27</f>
        <v/>
      </c>
      <c r="AW27" s="5" t="n">
        <v>7018.31</v>
      </c>
      <c r="AX27" s="41" t="n">
        <v>7018.31</v>
      </c>
      <c r="AY27" s="41">
        <f>$AX$27-$AW$27</f>
        <v/>
      </c>
      <c r="AZ27" s="5" t="n">
        <v>7018.31</v>
      </c>
      <c r="BA27" s="5" t="n">
        <v>0</v>
      </c>
      <c r="BB27" s="5" t="n">
        <v>7018.31</v>
      </c>
      <c r="BC27" s="5" t="n">
        <v>5339.7</v>
      </c>
      <c r="BD27" s="41" t="n">
        <v>5339.7</v>
      </c>
      <c r="BE27" s="41">
        <f>$BD$27-$BC$27</f>
        <v/>
      </c>
      <c r="BF27" s="5" t="n">
        <v>12358.01</v>
      </c>
      <c r="BG27" s="5" t="n">
        <v>12358.01</v>
      </c>
      <c r="BH27" t="inlineStr">
        <is>
          <t xml:space="preserve"> New Entrant /  Match=0 but Roth or Deferral &gt;0. </t>
        </is>
      </c>
      <c r="BI27" t="inlineStr">
        <is>
          <t>Processed</t>
        </is>
      </c>
    </row>
    <row r="28">
      <c r="A28" t="n">
        <v>20</v>
      </c>
      <c r="B28" t="inlineStr">
        <is>
          <t>WASE</t>
        </is>
      </c>
      <c r="D28" t="inlineStr"/>
      <c r="E28" s="3" t="n">
        <v>30788</v>
      </c>
      <c r="F28" s="30" t="n">
        <v>30788</v>
      </c>
      <c r="G28" s="46" t="b">
        <v>1</v>
      </c>
      <c r="H28" s="19" t="n">
        <v>30788</v>
      </c>
      <c r="I28" s="46" t="b">
        <v>1</v>
      </c>
      <c r="J28" s="3" t="n">
        <v>44669</v>
      </c>
      <c r="K28" s="30" t="n">
        <v>44669</v>
      </c>
      <c r="L28" s="46" t="b">
        <v>1</v>
      </c>
      <c r="M28" s="19" t="n">
        <v>44669</v>
      </c>
      <c r="N28" s="46" t="b">
        <v>1</v>
      </c>
      <c r="O28" s="3" t="n">
        <v>45047</v>
      </c>
      <c r="P28" s="30" t="n">
        <v>45047</v>
      </c>
      <c r="Q28" s="46" t="b">
        <v>1</v>
      </c>
      <c r="R28" s="19" t="n">
        <v>45047</v>
      </c>
      <c r="S28" s="46" t="b">
        <v>1</v>
      </c>
      <c r="T28" s="3" t="n">
        <v>45461</v>
      </c>
      <c r="U28" s="30" t="n">
        <v>45461</v>
      </c>
      <c r="V28" s="46" t="b">
        <v>1</v>
      </c>
      <c r="W28" s="19"/>
      <c r="X28" s="49" t="b">
        <v>0</v>
      </c>
      <c r="AA28" s="47" t="b">
        <v>1</v>
      </c>
      <c r="AC28" s="47" t="b">
        <v>1</v>
      </c>
      <c r="AD28" t="inlineStr">
        <is>
          <t>X</t>
        </is>
      </c>
      <c r="AE28" t="inlineStr">
        <is>
          <t>N</t>
        </is>
      </c>
      <c r="AF28" s="4" t="n">
        <v>0</v>
      </c>
      <c r="AG28" t="inlineStr">
        <is>
          <t>N</t>
        </is>
      </c>
      <c r="AH28" t="inlineStr">
        <is>
          <t>N</t>
        </is>
      </c>
      <c r="AI28" s="5" t="n">
        <v>0</v>
      </c>
      <c r="AJ28" s="6" t="n">
        <v>1093</v>
      </c>
      <c r="AK28" s="35" t="n">
        <v>1093.1</v>
      </c>
      <c r="AL28" s="35">
        <f>IF(AND(ISNUMBER($AK$28), ISNUMBER($AJ$28)), IF(($AK$28 - $AJ$28)&lt;=1, 0, ($AK$28 - $AJ$28)), "")</f>
        <v/>
      </c>
      <c r="AM28" s="6" t="n">
        <v>3</v>
      </c>
      <c r="AN28" s="24" t="n">
        <v>2</v>
      </c>
      <c r="AO28" s="48" t="b">
        <v>1</v>
      </c>
      <c r="AP28" s="5" t="n">
        <v>26554.5</v>
      </c>
      <c r="AQ28" s="41" t="n">
        <v>26554.5</v>
      </c>
      <c r="AR28" s="41">
        <f>$AQ$28-$AP$28</f>
        <v/>
      </c>
      <c r="AS28" s="5" t="n">
        <v>26554.5</v>
      </c>
      <c r="AT28" s="5" t="n">
        <v>811.75</v>
      </c>
      <c r="AU28" s="41" t="n">
        <v>811.75</v>
      </c>
      <c r="AV28" s="41">
        <f>$AU$28-$AT$28</f>
        <v/>
      </c>
      <c r="AW28" s="5" t="n">
        <v>0</v>
      </c>
      <c r="AX28" s="41" t="n">
        <v>0</v>
      </c>
      <c r="AY28" s="41">
        <f>$AX$28-$AW$28</f>
        <v/>
      </c>
      <c r="AZ28" s="5" t="n">
        <v>811.75</v>
      </c>
      <c r="BA28" s="5" t="n">
        <v>0</v>
      </c>
      <c r="BB28" s="5" t="n">
        <v>811.75</v>
      </c>
      <c r="BC28" s="5" t="n">
        <v>547.92</v>
      </c>
      <c r="BD28" s="41" t="n">
        <v>547.92</v>
      </c>
      <c r="BE28" s="41">
        <f>$BD$28-$BC$28</f>
        <v/>
      </c>
      <c r="BF28" s="5" t="n">
        <v>1359.67</v>
      </c>
      <c r="BG28" s="5" t="n">
        <v>1359.67</v>
      </c>
      <c r="BH28" t="inlineStr">
        <is>
          <t xml:space="preserve"> Match=0 but Roth or Deferral &gt;0. </t>
        </is>
      </c>
      <c r="BI28" t="inlineStr">
        <is>
          <t>Processed</t>
        </is>
      </c>
    </row>
    <row r="29" ht="13.5" customFormat="1" customHeight="1" s="7" thickBot="1">
      <c r="A29" s="7" t="n">
        <v>20</v>
      </c>
      <c r="B29" s="7" t="inlineStr">
        <is>
          <t>Total NHCE's</t>
        </is>
      </c>
      <c r="E29" s="8"/>
      <c r="F29" s="31"/>
      <c r="G29" s="31"/>
      <c r="H29" s="20"/>
      <c r="I29" s="20"/>
      <c r="J29" s="8"/>
      <c r="K29" s="31"/>
      <c r="L29" s="31"/>
      <c r="M29" s="20"/>
      <c r="N29" s="20"/>
      <c r="O29" s="8"/>
      <c r="P29" s="31"/>
      <c r="Q29" s="31"/>
      <c r="R29" s="20"/>
      <c r="S29" s="20"/>
      <c r="T29" s="8"/>
      <c r="U29" s="31"/>
      <c r="V29" s="31"/>
      <c r="W29" s="20"/>
      <c r="X29" s="20"/>
      <c r="Z29" s="32"/>
      <c r="AA29" s="32"/>
      <c r="AB29" s="21"/>
      <c r="AC29" s="21"/>
      <c r="AF29" s="9"/>
      <c r="AI29" s="10">
        <f>SUM(AI9:AI28)</f>
        <v/>
      </c>
      <c r="AJ29" s="11">
        <f>SUM(AJ9:AJ28)</f>
        <v/>
      </c>
      <c r="AK29" s="36">
        <f>SUM(AK9:AK28)</f>
        <v/>
      </c>
      <c r="AL29" s="36">
        <f>SUM(AL9:AL28)</f>
        <v/>
      </c>
      <c r="AM29" s="11">
        <f>SUM(AM9:AM28)</f>
        <v/>
      </c>
      <c r="AN29" s="25">
        <f>SUM(AN9:AN28)</f>
        <v/>
      </c>
      <c r="AO29" s="25">
        <f>SUM(AO9:AO28)</f>
        <v/>
      </c>
      <c r="AP29" s="10">
        <f>SUM(AP9:AP28)</f>
        <v/>
      </c>
      <c r="AQ29" s="42">
        <f>SUM(AQ9:AQ28)</f>
        <v/>
      </c>
      <c r="AR29" s="42">
        <f>SUM(AR9:AR28)</f>
        <v/>
      </c>
      <c r="AS29" s="10">
        <f>SUM(AS9:AS28)</f>
        <v/>
      </c>
      <c r="AT29" s="10">
        <f>SUM(AT9:AT28)</f>
        <v/>
      </c>
      <c r="AU29" s="42">
        <f>SUM(AU9:AU28)</f>
        <v/>
      </c>
      <c r="AV29" s="42">
        <f>SUM(AV9:AV28)</f>
        <v/>
      </c>
      <c r="AW29" s="10">
        <f>SUM(AW9:AW28)</f>
        <v/>
      </c>
      <c r="AX29" s="42">
        <f>SUM(AX9:AX28)</f>
        <v/>
      </c>
      <c r="AY29" s="42">
        <f>SUM(AY9:AY28)</f>
        <v/>
      </c>
      <c r="AZ29" s="10">
        <f>SUM(AZ9:AZ28)</f>
        <v/>
      </c>
      <c r="BA29" s="10">
        <f>SUM(BA9:BA28)</f>
        <v/>
      </c>
      <c r="BB29" s="10">
        <f>SUM(BB9:BB28)</f>
        <v/>
      </c>
      <c r="BC29" s="10">
        <f>SUM(BC9:BC28)</f>
        <v/>
      </c>
      <c r="BD29" s="42">
        <f>SUM(BD9:BD28)</f>
        <v/>
      </c>
      <c r="BE29" s="42">
        <f>SUM(BE9:BE28)</f>
        <v/>
      </c>
      <c r="BF29" s="10">
        <f>SUM(BF9:BF28)</f>
        <v/>
      </c>
      <c r="BG29" s="10">
        <f>SUM(BG9:BG28)</f>
        <v/>
      </c>
      <c r="BH29" s="7">
        <f>SUM(BH9:BH28)</f>
        <v/>
      </c>
    </row>
    <row r="30" ht="13.5" customFormat="1" customHeight="1" s="7" thickTop="1">
      <c r="A30" s="7">
        <f>SUM(HCENum + NHCENum)</f>
        <v/>
      </c>
      <c r="B30" s="7" t="inlineStr">
        <is>
          <t>Total Eligibles</t>
        </is>
      </c>
      <c r="E30" s="8"/>
      <c r="F30" s="31"/>
      <c r="G30" s="31"/>
      <c r="H30" s="20"/>
      <c r="I30" s="20"/>
      <c r="J30" s="8"/>
      <c r="K30" s="31"/>
      <c r="L30" s="31"/>
      <c r="M30" s="20"/>
      <c r="N30" s="20"/>
      <c r="O30" s="8"/>
      <c r="P30" s="31"/>
      <c r="Q30" s="31"/>
      <c r="R30" s="20"/>
      <c r="S30" s="20"/>
      <c r="T30" s="8"/>
      <c r="U30" s="31"/>
      <c r="V30" s="31"/>
      <c r="W30" s="20"/>
      <c r="X30" s="20"/>
      <c r="Z30" s="32"/>
      <c r="AA30" s="32"/>
      <c r="AB30" s="21"/>
      <c r="AC30" s="21"/>
      <c r="AF30" s="9"/>
      <c r="AI30" s="12">
        <f>SUM(HCE + HCE_NO)</f>
        <v/>
      </c>
      <c r="AJ30" s="13">
        <f>SUM(HCE + HCE_NO)</f>
        <v/>
      </c>
      <c r="AK30" s="37">
        <f>SUM(HCE + HCE_NO)</f>
        <v/>
      </c>
      <c r="AL30" s="37">
        <f>SUM(HCE + HCE_NO)</f>
        <v/>
      </c>
      <c r="AM30" s="13">
        <f>SUM(HCE + HCE_NO)</f>
        <v/>
      </c>
      <c r="AN30" s="26">
        <f>SUM(HCE + HCE_NO)</f>
        <v/>
      </c>
      <c r="AO30" s="26">
        <f>SUM(HCE + HCE_NO)</f>
        <v/>
      </c>
      <c r="AP30" s="12">
        <f>SUM(HCE + HCE_NO)</f>
        <v/>
      </c>
      <c r="AQ30" s="43">
        <f>SUM(HCE + HCE_NO)</f>
        <v/>
      </c>
      <c r="AR30" s="43">
        <f>SUM(HCE + HCE_NO)</f>
        <v/>
      </c>
      <c r="AS30" s="12">
        <f>SUM(HCE + HCE_NO)</f>
        <v/>
      </c>
      <c r="AT30" s="12">
        <f>SUM(HCE + HCE_NO)</f>
        <v/>
      </c>
      <c r="AU30" s="43">
        <f>SUM(HCE + HCE_NO)</f>
        <v/>
      </c>
      <c r="AV30" s="43">
        <f>SUM(HCE + HCE_NO)</f>
        <v/>
      </c>
      <c r="AW30" s="12">
        <f>SUM(HCE + HCE_NO)</f>
        <v/>
      </c>
      <c r="AX30" s="43">
        <f>SUM(HCE + HCE_NO)</f>
        <v/>
      </c>
      <c r="AY30" s="43">
        <f>SUM(HCE + HCE_NO)</f>
        <v/>
      </c>
      <c r="AZ30" s="12">
        <f>SUM(HCE + HCE_NO)</f>
        <v/>
      </c>
      <c r="BA30" s="12">
        <f>SUM(HCE + HCE_NO)</f>
        <v/>
      </c>
      <c r="BB30" s="12">
        <f>SUM(HCE + HCE_NO)</f>
        <v/>
      </c>
      <c r="BC30" s="12">
        <f>SUM(HCE + HCE_NO)</f>
        <v/>
      </c>
      <c r="BD30" s="43">
        <f>SUM(HCE + HCE_NO)</f>
        <v/>
      </c>
      <c r="BE30" s="43">
        <f>SUM(HCE + HCE_NO)</f>
        <v/>
      </c>
      <c r="BF30" s="12">
        <f>SUM(HCE + HCE_NO)</f>
        <v/>
      </c>
      <c r="BG30" s="12">
        <f>SUM(HCE + HCE_NO)</f>
        <v/>
      </c>
      <c r="BH30" s="7">
        <f>SUM(HCE + HCE_NO)</f>
        <v/>
      </c>
    </row>
    <row r="31" ht="12.95" customFormat="1" customHeight="1" s="7">
      <c r="E31" s="8"/>
      <c r="F31" s="31"/>
      <c r="G31" s="31"/>
      <c r="H31" s="20"/>
      <c r="I31" s="20"/>
      <c r="J31" s="8"/>
      <c r="K31" s="31"/>
      <c r="L31" s="31"/>
      <c r="M31" s="20"/>
      <c r="N31" s="20"/>
      <c r="O31" s="8"/>
      <c r="P31" s="31"/>
      <c r="Q31" s="31"/>
      <c r="R31" s="20"/>
      <c r="S31" s="20"/>
      <c r="T31" s="8"/>
      <c r="U31" s="31"/>
      <c r="V31" s="31"/>
      <c r="W31" s="20"/>
      <c r="X31" s="20"/>
      <c r="Z31" s="32"/>
      <c r="AA31" s="32"/>
      <c r="AB31" s="21"/>
      <c r="AC31" s="21"/>
      <c r="AF31" s="9"/>
      <c r="AI31" s="12"/>
      <c r="AJ31" s="13"/>
      <c r="AK31" s="37"/>
      <c r="AL31" s="37"/>
      <c r="AM31" s="13"/>
      <c r="AN31" s="26"/>
      <c r="AO31" s="26"/>
      <c r="AP31" s="12"/>
      <c r="AQ31" s="43"/>
      <c r="AR31" s="43"/>
      <c r="AS31" s="12"/>
      <c r="AT31" s="12"/>
      <c r="AU31" s="43"/>
      <c r="AV31" s="43"/>
      <c r="AW31" s="12"/>
      <c r="AX31" s="43"/>
      <c r="AY31" s="43"/>
      <c r="AZ31" s="12"/>
      <c r="BA31" s="12"/>
      <c r="BB31" s="12"/>
      <c r="BC31" s="12"/>
      <c r="BD31" s="43"/>
      <c r="BE31" s="43"/>
      <c r="BF31" s="12"/>
      <c r="BG31" s="12"/>
    </row>
    <row r="32" ht="12.95" customFormat="1" customHeight="1" s="7">
      <c r="A32" s="7">
        <f>SUM(HCENum + NHCENum + 0)</f>
        <v/>
      </c>
      <c r="B32" s="7" t="inlineStr">
        <is>
          <t>Total Workforce</t>
        </is>
      </c>
      <c r="E32" s="8"/>
      <c r="F32" s="31"/>
      <c r="G32" s="31"/>
      <c r="H32" s="20"/>
      <c r="I32" s="20"/>
      <c r="J32" s="8"/>
      <c r="K32" s="31"/>
      <c r="L32" s="31"/>
      <c r="M32" s="20"/>
      <c r="N32" s="20"/>
      <c r="O32" s="8"/>
      <c r="P32" s="31"/>
      <c r="Q32" s="31"/>
      <c r="R32" s="20"/>
      <c r="S32" s="20"/>
      <c r="T32" s="8"/>
      <c r="U32" s="31"/>
      <c r="V32" s="31"/>
      <c r="W32" s="20"/>
      <c r="X32" s="20"/>
      <c r="Z32" s="32"/>
      <c r="AA32" s="32"/>
      <c r="AB32" s="21"/>
      <c r="AC32" s="21"/>
      <c r="AF32" s="9"/>
      <c r="AI32" s="12"/>
      <c r="AJ32" s="13"/>
      <c r="AK32" s="37"/>
      <c r="AL32" s="37"/>
      <c r="AM32" s="13"/>
      <c r="AN32" s="26"/>
      <c r="AO32" s="26"/>
      <c r="AP32" s="12"/>
      <c r="AQ32" s="43"/>
      <c r="AR32" s="43"/>
      <c r="AS32" s="12"/>
      <c r="AT32" s="12"/>
      <c r="AU32" s="43"/>
      <c r="AV32" s="43"/>
      <c r="AW32" s="12"/>
      <c r="AX32" s="43"/>
      <c r="AY32" s="43"/>
      <c r="AZ32" s="12"/>
      <c r="BA32" s="12"/>
      <c r="BB32" s="12"/>
      <c r="BC32" s="12"/>
      <c r="BD32" s="43"/>
      <c r="BE32" s="43"/>
      <c r="BF32" s="12"/>
      <c r="BG32" s="12"/>
    </row>
    <row r="33">
      <c r="E33" s="3"/>
      <c r="F33" s="30"/>
      <c r="G33" s="30"/>
      <c r="H33" s="19"/>
      <c r="I33" s="19"/>
      <c r="J33" s="3"/>
      <c r="K33" s="30"/>
      <c r="L33" s="30"/>
      <c r="M33" s="19"/>
      <c r="N33" s="19"/>
      <c r="O33" s="3"/>
      <c r="P33" s="30"/>
      <c r="Q33" s="30"/>
      <c r="R33" s="19"/>
      <c r="S33" s="19"/>
      <c r="T33" s="3"/>
      <c r="U33" s="30"/>
      <c r="V33" s="30"/>
      <c r="W33" s="19"/>
      <c r="X33" s="19"/>
      <c r="AF33" s="4"/>
      <c r="AI33" s="5"/>
      <c r="AJ33" s="6"/>
      <c r="AK33" s="35"/>
      <c r="AL33" s="35"/>
      <c r="AM33" s="6"/>
      <c r="AN33" s="24"/>
      <c r="AO33" s="24"/>
      <c r="AP33" s="5"/>
      <c r="AQ33" s="41"/>
      <c r="AR33" s="41"/>
      <c r="AS33" s="5"/>
      <c r="AT33" s="5"/>
      <c r="AU33" s="41"/>
      <c r="AV33" s="41"/>
      <c r="AW33" s="5"/>
      <c r="AX33" s="41"/>
      <c r="AY33" s="41"/>
      <c r="AZ33" s="5"/>
      <c r="BA33" s="5"/>
      <c r="BB33" s="5"/>
      <c r="BC33" s="5"/>
      <c r="BD33" s="41"/>
      <c r="BE33" s="41"/>
      <c r="BF33" s="5"/>
      <c r="BG33" s="5"/>
    </row>
    <row r="34">
      <c r="A34" t="n">
        <v>1</v>
      </c>
      <c r="B34" t="inlineStr">
        <is>
          <t>UIOK</t>
        </is>
      </c>
      <c r="D34" t="inlineStr"/>
      <c r="E34" s="3" t="n">
        <v>24415</v>
      </c>
      <c r="F34" s="30" t="n">
        <v>24415</v>
      </c>
      <c r="G34" s="46" t="b">
        <v>1</v>
      </c>
      <c r="H34" s="19" t="n">
        <v>24415</v>
      </c>
      <c r="I34" s="46" t="b">
        <v>1</v>
      </c>
      <c r="J34" s="3" t="n">
        <v>39034</v>
      </c>
      <c r="K34" s="30" t="n">
        <v>39034</v>
      </c>
      <c r="L34" s="46" t="b">
        <v>1</v>
      </c>
      <c r="M34" s="19" t="n">
        <v>39034</v>
      </c>
      <c r="N34" s="46" t="b">
        <v>1</v>
      </c>
      <c r="O34" s="3" t="n">
        <v>42736</v>
      </c>
      <c r="P34" s="30" t="n">
        <v>42736</v>
      </c>
      <c r="Q34" s="46" t="b">
        <v>1</v>
      </c>
      <c r="R34" s="19" t="n">
        <v>42736</v>
      </c>
      <c r="S34" s="46" t="b">
        <v>1</v>
      </c>
      <c r="T34" s="3" t="n">
        <v>45194</v>
      </c>
      <c r="U34" s="30" t="n">
        <v>45194</v>
      </c>
      <c r="V34" s="46" t="b">
        <v>1</v>
      </c>
      <c r="W34" s="19" t="n">
        <v>45194</v>
      </c>
      <c r="X34" s="46" t="b">
        <v>1</v>
      </c>
      <c r="AA34" s="47" t="b">
        <v>1</v>
      </c>
      <c r="AC34" s="47" t="b">
        <v>1</v>
      </c>
      <c r="AD34" t="inlineStr">
        <is>
          <t>X</t>
        </is>
      </c>
      <c r="AE34" t="inlineStr">
        <is>
          <t>N</t>
        </is>
      </c>
      <c r="AF34" s="4" t="n">
        <v>0</v>
      </c>
      <c r="AG34" t="inlineStr">
        <is>
          <t>N</t>
        </is>
      </c>
      <c r="AH34" t="inlineStr">
        <is>
          <t>N</t>
        </is>
      </c>
      <c r="AI34" s="5" t="n">
        <v>258335.36</v>
      </c>
      <c r="AJ34" s="6" t="n">
        <v>0</v>
      </c>
      <c r="AK34" s="35" t="n">
        <v>0</v>
      </c>
      <c r="AL34" s="35">
        <f>IF(AND(ISNUMBER($AK$34), ISNUMBER($AJ$34)), IF(($AK$34 - $AJ$34)&lt;=1, 0, ($AK$34 - $AJ$34)), "")</f>
        <v/>
      </c>
      <c r="AM34" s="6" t="n">
        <v>16</v>
      </c>
      <c r="AN34" s="24" t="n">
        <v>16</v>
      </c>
      <c r="AO34" s="48" t="b">
        <v>1</v>
      </c>
      <c r="AP34" s="5" t="n">
        <v>0</v>
      </c>
      <c r="AQ34" s="41" t="n">
        <v>30000</v>
      </c>
      <c r="AR34" s="41">
        <f>$AQ$34-$AP$34</f>
        <v/>
      </c>
      <c r="AS34" s="5" t="n">
        <v>0</v>
      </c>
      <c r="AT34" s="5" t="n">
        <v>0</v>
      </c>
      <c r="AU34" s="41" t="n">
        <v>2625</v>
      </c>
      <c r="AV34" s="41">
        <f>$AU$34-$AT$34</f>
        <v/>
      </c>
      <c r="AW34" s="5" t="n">
        <v>0</v>
      </c>
      <c r="AX34" s="41" t="n">
        <v>0</v>
      </c>
      <c r="AY34" s="41">
        <f>$AX$34-$AW$34</f>
        <v/>
      </c>
      <c r="AZ34" s="5" t="n">
        <v>0</v>
      </c>
      <c r="BA34" s="5" t="n">
        <v>0</v>
      </c>
      <c r="BB34" s="5" t="n">
        <v>0</v>
      </c>
      <c r="BC34" s="5" t="n">
        <v>0</v>
      </c>
      <c r="BD34" s="41" t="n">
        <v>0</v>
      </c>
      <c r="BE34" s="41">
        <f>$BD$34-$BC$34</f>
        <v/>
      </c>
      <c r="BF34" s="5" t="n">
        <v>0</v>
      </c>
      <c r="BG34" s="5" t="n">
        <v>0</v>
      </c>
      <c r="BI34" t="inlineStr">
        <is>
          <t>Processed</t>
        </is>
      </c>
    </row>
    <row r="35">
      <c r="A35" t="n">
        <v>2</v>
      </c>
      <c r="B35" t="inlineStr">
        <is>
          <t>CVGD</t>
        </is>
      </c>
      <c r="D35" t="inlineStr"/>
      <c r="E35" s="3" t="n">
        <v>24451</v>
      </c>
      <c r="F35" s="30" t="inlineStr">
        <is>
          <t>No Match Found</t>
        </is>
      </c>
      <c r="G35" s="30" t="inlineStr">
        <is>
          <t>NA</t>
        </is>
      </c>
      <c r="H35" s="19" t="n">
        <v>24451</v>
      </c>
      <c r="I35" s="46" t="b">
        <v>1</v>
      </c>
      <c r="J35" s="3" t="n">
        <v>41626</v>
      </c>
      <c r="K35" s="30" t="inlineStr">
        <is>
          <t>No Match Found</t>
        </is>
      </c>
      <c r="L35" s="30" t="inlineStr">
        <is>
          <t>NA</t>
        </is>
      </c>
      <c r="M35" s="19" t="n">
        <v>41626</v>
      </c>
      <c r="N35" s="46" t="b">
        <v>1</v>
      </c>
      <c r="O35" s="3" t="n">
        <v>42736</v>
      </c>
      <c r="P35" s="30" t="inlineStr">
        <is>
          <t>No Match Found</t>
        </is>
      </c>
      <c r="Q35" s="30" t="inlineStr">
        <is>
          <t>NA</t>
        </is>
      </c>
      <c r="R35" s="19" t="n">
        <v>42736</v>
      </c>
      <c r="S35" s="46" t="b">
        <v>1</v>
      </c>
      <c r="T35" s="3" t="n">
        <v>43007</v>
      </c>
      <c r="U35" s="30" t="inlineStr">
        <is>
          <t>No Match Found</t>
        </is>
      </c>
      <c r="V35" s="30" t="inlineStr">
        <is>
          <t>NA</t>
        </is>
      </c>
      <c r="W35" s="19" t="n">
        <v>43007</v>
      </c>
      <c r="X35" s="46" t="b">
        <v>1</v>
      </c>
      <c r="Z35" s="29" t="inlineStr">
        <is>
          <t>No Match Found</t>
        </is>
      </c>
      <c r="AA35" s="29" t="inlineStr">
        <is>
          <t>NA</t>
        </is>
      </c>
      <c r="AC35" s="47" t="b">
        <v>1</v>
      </c>
      <c r="AD35" t="inlineStr">
        <is>
          <t>X</t>
        </is>
      </c>
      <c r="AE35" t="inlineStr">
        <is>
          <t>N</t>
        </is>
      </c>
      <c r="AF35" s="4" t="n">
        <v>0</v>
      </c>
      <c r="AG35" t="inlineStr">
        <is>
          <t>N</t>
        </is>
      </c>
      <c r="AH35" t="inlineStr">
        <is>
          <t>N</t>
        </is>
      </c>
      <c r="AI35" s="5" t="n">
        <v>19608.24</v>
      </c>
      <c r="AJ35" s="6" t="n">
        <v>0</v>
      </c>
      <c r="AK35" s="35" t="inlineStr">
        <is>
          <t>No Match Found</t>
        </is>
      </c>
      <c r="AL35" s="35" t="inlineStr">
        <is>
          <t>NA</t>
        </is>
      </c>
      <c r="AM35" s="6" t="n">
        <v>4</v>
      </c>
      <c r="AN35" s="24" t="n">
        <v>4</v>
      </c>
      <c r="AO35" s="48" t="b">
        <v>1</v>
      </c>
      <c r="AP35" s="5" t="n">
        <v>0</v>
      </c>
      <c r="AQ35" s="41" t="inlineStr">
        <is>
          <t>No Match Found</t>
        </is>
      </c>
      <c r="AR35" s="41" t="inlineStr">
        <is>
          <t>NA</t>
        </is>
      </c>
      <c r="AS35" s="5" t="n">
        <v>0</v>
      </c>
      <c r="AT35" s="5" t="n">
        <v>0</v>
      </c>
      <c r="AU35" s="41" t="inlineStr">
        <is>
          <t>No Match Found</t>
        </is>
      </c>
      <c r="AV35" s="41" t="inlineStr">
        <is>
          <t>NA</t>
        </is>
      </c>
      <c r="AW35" s="5" t="n">
        <v>0</v>
      </c>
      <c r="AX35" s="41" t="inlineStr">
        <is>
          <t>No Match Found</t>
        </is>
      </c>
      <c r="AY35" s="41" t="inlineStr">
        <is>
          <t>NA</t>
        </is>
      </c>
      <c r="AZ35" s="5" t="n">
        <v>0</v>
      </c>
      <c r="BA35" s="5" t="n">
        <v>0</v>
      </c>
      <c r="BB35" s="5" t="n">
        <v>0</v>
      </c>
      <c r="BC35" s="5" t="n">
        <v>0</v>
      </c>
      <c r="BD35" s="41" t="inlineStr">
        <is>
          <t>No Match Found</t>
        </is>
      </c>
      <c r="BE35" s="41" t="inlineStr">
        <is>
          <t>NA</t>
        </is>
      </c>
      <c r="BF35" s="5" t="n">
        <v>0</v>
      </c>
      <c r="BG35" s="5" t="n">
        <v>0</v>
      </c>
      <c r="BI35" t="inlineStr">
        <is>
          <t>Processed</t>
        </is>
      </c>
    </row>
    <row r="36">
      <c r="A36" t="n">
        <v>3</v>
      </c>
      <c r="B36" t="inlineStr">
        <is>
          <t>KMNJ</t>
        </is>
      </c>
      <c r="D36" t="inlineStr"/>
      <c r="E36" s="3" t="n">
        <v>29039</v>
      </c>
      <c r="F36" s="30" t="inlineStr">
        <is>
          <t>No Match Found</t>
        </is>
      </c>
      <c r="G36" s="30" t="inlineStr">
        <is>
          <t>NA</t>
        </is>
      </c>
      <c r="H36" s="19" t="n">
        <v>29039</v>
      </c>
      <c r="I36" s="46" t="b">
        <v>1</v>
      </c>
      <c r="J36" s="3" t="n">
        <v>41869</v>
      </c>
      <c r="K36" s="30" t="inlineStr">
        <is>
          <t>No Match Found</t>
        </is>
      </c>
      <c r="L36" s="30" t="inlineStr">
        <is>
          <t>NA</t>
        </is>
      </c>
      <c r="M36" s="19" t="n">
        <v>41869</v>
      </c>
      <c r="N36" s="46" t="b">
        <v>1</v>
      </c>
      <c r="O36" s="3" t="n">
        <v>42736</v>
      </c>
      <c r="P36" s="30" t="inlineStr">
        <is>
          <t>No Match Found</t>
        </is>
      </c>
      <c r="Q36" s="30" t="inlineStr">
        <is>
          <t>NA</t>
        </is>
      </c>
      <c r="R36" s="19" t="n">
        <v>42736</v>
      </c>
      <c r="S36" s="46" t="b">
        <v>1</v>
      </c>
      <c r="T36" s="3" t="n">
        <v>42993</v>
      </c>
      <c r="U36" s="30" t="inlineStr">
        <is>
          <t>No Match Found</t>
        </is>
      </c>
      <c r="V36" s="30" t="inlineStr">
        <is>
          <t>NA</t>
        </is>
      </c>
      <c r="W36" s="19" t="n">
        <v>42993</v>
      </c>
      <c r="X36" s="46" t="b">
        <v>1</v>
      </c>
      <c r="Z36" s="29" t="inlineStr">
        <is>
          <t>No Match Found</t>
        </is>
      </c>
      <c r="AA36" s="29" t="inlineStr">
        <is>
          <t>NA</t>
        </is>
      </c>
      <c r="AC36" s="47" t="b">
        <v>1</v>
      </c>
      <c r="AD36" t="inlineStr">
        <is>
          <t>X</t>
        </is>
      </c>
      <c r="AE36" t="inlineStr">
        <is>
          <t>N</t>
        </is>
      </c>
      <c r="AF36" s="4" t="n">
        <v>0</v>
      </c>
      <c r="AG36" t="inlineStr">
        <is>
          <t>N</t>
        </is>
      </c>
      <c r="AH36" t="inlineStr">
        <is>
          <t>N</t>
        </is>
      </c>
      <c r="AI36" s="5" t="n">
        <v>7317.91</v>
      </c>
      <c r="AJ36" s="6" t="n">
        <v>0</v>
      </c>
      <c r="AK36" s="35" t="inlineStr">
        <is>
          <t>No Match Found</t>
        </is>
      </c>
      <c r="AL36" s="35" t="inlineStr">
        <is>
          <t>NA</t>
        </is>
      </c>
      <c r="AM36" s="6" t="n">
        <v>3</v>
      </c>
      <c r="AN36" s="24" t="n">
        <v>3</v>
      </c>
      <c r="AO36" s="48" t="b">
        <v>1</v>
      </c>
      <c r="AP36" s="5" t="n">
        <v>0</v>
      </c>
      <c r="AQ36" s="41" t="inlineStr">
        <is>
          <t>No Match Found</t>
        </is>
      </c>
      <c r="AR36" s="41" t="inlineStr">
        <is>
          <t>NA</t>
        </is>
      </c>
      <c r="AS36" s="5" t="n">
        <v>0</v>
      </c>
      <c r="AT36" s="5" t="n">
        <v>0</v>
      </c>
      <c r="AU36" s="41" t="inlineStr">
        <is>
          <t>No Match Found</t>
        </is>
      </c>
      <c r="AV36" s="41" t="inlineStr">
        <is>
          <t>NA</t>
        </is>
      </c>
      <c r="AW36" s="5" t="n">
        <v>0</v>
      </c>
      <c r="AX36" s="41" t="inlineStr">
        <is>
          <t>No Match Found</t>
        </is>
      </c>
      <c r="AY36" s="41" t="inlineStr">
        <is>
          <t>NA</t>
        </is>
      </c>
      <c r="AZ36" s="5" t="n">
        <v>0</v>
      </c>
      <c r="BA36" s="5" t="n">
        <v>0</v>
      </c>
      <c r="BB36" s="5" t="n">
        <v>0</v>
      </c>
      <c r="BC36" s="5" t="n">
        <v>0</v>
      </c>
      <c r="BD36" s="41" t="inlineStr">
        <is>
          <t>No Match Found</t>
        </is>
      </c>
      <c r="BE36" s="41" t="inlineStr">
        <is>
          <t>NA</t>
        </is>
      </c>
      <c r="BF36" s="5" t="n">
        <v>0</v>
      </c>
      <c r="BG36" s="5" t="n">
        <v>0</v>
      </c>
      <c r="BI36" t="inlineStr">
        <is>
          <t>Processed</t>
        </is>
      </c>
    </row>
    <row r="37">
      <c r="A37" t="n">
        <v>4</v>
      </c>
      <c r="B37" t="inlineStr">
        <is>
          <t>HGVB</t>
        </is>
      </c>
      <c r="D37" t="inlineStr"/>
      <c r="E37" s="3" t="n">
        <v>26590</v>
      </c>
      <c r="F37" s="30" t="inlineStr">
        <is>
          <t>No Match Found</t>
        </is>
      </c>
      <c r="G37" s="30" t="inlineStr">
        <is>
          <t>NA</t>
        </is>
      </c>
      <c r="H37" s="19" t="n">
        <v>26590</v>
      </c>
      <c r="I37" s="46" t="b">
        <v>1</v>
      </c>
      <c r="J37" s="3" t="n">
        <v>42278</v>
      </c>
      <c r="K37" s="30" t="inlineStr">
        <is>
          <t>No Match Found</t>
        </is>
      </c>
      <c r="L37" s="30" t="inlineStr">
        <is>
          <t>NA</t>
        </is>
      </c>
      <c r="M37" s="19" t="n">
        <v>42278</v>
      </c>
      <c r="N37" s="46" t="b">
        <v>1</v>
      </c>
      <c r="O37" s="3" t="n">
        <v>42736</v>
      </c>
      <c r="P37" s="30" t="inlineStr">
        <is>
          <t>No Match Found</t>
        </is>
      </c>
      <c r="Q37" s="30" t="inlineStr">
        <is>
          <t>NA</t>
        </is>
      </c>
      <c r="R37" s="19" t="n">
        <v>42736</v>
      </c>
      <c r="S37" s="46" t="b">
        <v>1</v>
      </c>
      <c r="T37" s="3" t="n">
        <v>43286</v>
      </c>
      <c r="U37" s="30" t="inlineStr">
        <is>
          <t>No Match Found</t>
        </is>
      </c>
      <c r="V37" s="30" t="inlineStr">
        <is>
          <t>NA</t>
        </is>
      </c>
      <c r="W37" s="19" t="n">
        <v>43286</v>
      </c>
      <c r="X37" s="46" t="b">
        <v>1</v>
      </c>
      <c r="Z37" s="29" t="inlineStr">
        <is>
          <t>No Match Found</t>
        </is>
      </c>
      <c r="AA37" s="29" t="inlineStr">
        <is>
          <t>NA</t>
        </is>
      </c>
      <c r="AC37" s="47" t="b">
        <v>1</v>
      </c>
      <c r="AD37" t="inlineStr">
        <is>
          <t>X</t>
        </is>
      </c>
      <c r="AE37" t="inlineStr">
        <is>
          <t>N</t>
        </is>
      </c>
      <c r="AF37" s="4" t="n">
        <v>0</v>
      </c>
      <c r="AG37" t="inlineStr">
        <is>
          <t>N</t>
        </is>
      </c>
      <c r="AH37" t="inlineStr">
        <is>
          <t>N</t>
        </is>
      </c>
      <c r="AI37" s="5" t="n">
        <v>7505.29</v>
      </c>
      <c r="AJ37" s="6" t="n">
        <v>0</v>
      </c>
      <c r="AK37" s="35" t="inlineStr">
        <is>
          <t>No Match Found</t>
        </is>
      </c>
      <c r="AL37" s="35" t="inlineStr">
        <is>
          <t>NA</t>
        </is>
      </c>
      <c r="AM37" s="6" t="n">
        <v>3</v>
      </c>
      <c r="AN37" s="24" t="n">
        <v>3</v>
      </c>
      <c r="AO37" s="48" t="b">
        <v>1</v>
      </c>
      <c r="AP37" s="5" t="n">
        <v>0</v>
      </c>
      <c r="AQ37" s="41" t="inlineStr">
        <is>
          <t>No Match Found</t>
        </is>
      </c>
      <c r="AR37" s="41" t="inlineStr">
        <is>
          <t>NA</t>
        </is>
      </c>
      <c r="AS37" s="5" t="n">
        <v>0</v>
      </c>
      <c r="AT37" s="5" t="n">
        <v>0</v>
      </c>
      <c r="AU37" s="41" t="inlineStr">
        <is>
          <t>No Match Found</t>
        </is>
      </c>
      <c r="AV37" s="41" t="inlineStr">
        <is>
          <t>NA</t>
        </is>
      </c>
      <c r="AW37" s="5" t="n">
        <v>0</v>
      </c>
      <c r="AX37" s="41" t="inlineStr">
        <is>
          <t>No Match Found</t>
        </is>
      </c>
      <c r="AY37" s="41" t="inlineStr">
        <is>
          <t>NA</t>
        </is>
      </c>
      <c r="AZ37" s="5" t="n">
        <v>0</v>
      </c>
      <c r="BA37" s="5" t="n">
        <v>0</v>
      </c>
      <c r="BB37" s="5" t="n">
        <v>0</v>
      </c>
      <c r="BC37" s="5" t="n">
        <v>0</v>
      </c>
      <c r="BD37" s="41" t="inlineStr">
        <is>
          <t>No Match Found</t>
        </is>
      </c>
      <c r="BE37" s="41" t="inlineStr">
        <is>
          <t>NA</t>
        </is>
      </c>
      <c r="BF37" s="5" t="n">
        <v>0</v>
      </c>
      <c r="BG37" s="5" t="n">
        <v>0</v>
      </c>
      <c r="BI37" t="inlineStr">
        <is>
          <t>Processed</t>
        </is>
      </c>
    </row>
    <row r="38">
      <c r="A38" t="n">
        <v>5</v>
      </c>
      <c r="B38" t="inlineStr">
        <is>
          <t>VFGC</t>
        </is>
      </c>
      <c r="D38" t="inlineStr"/>
      <c r="E38" s="3" t="n">
        <v>26402</v>
      </c>
      <c r="F38" s="30" t="inlineStr">
        <is>
          <t>No Match Found</t>
        </is>
      </c>
      <c r="G38" s="30" t="inlineStr">
        <is>
          <t>NA</t>
        </is>
      </c>
      <c r="H38" s="19" t="n">
        <v>26402</v>
      </c>
      <c r="I38" s="46" t="b">
        <v>1</v>
      </c>
      <c r="J38" s="3" t="n">
        <v>42961</v>
      </c>
      <c r="K38" s="30" t="inlineStr">
        <is>
          <t>No Match Found</t>
        </is>
      </c>
      <c r="L38" s="30" t="inlineStr">
        <is>
          <t>NA</t>
        </is>
      </c>
      <c r="M38" s="19" t="n">
        <v>42961</v>
      </c>
      <c r="N38" s="46" t="b">
        <v>1</v>
      </c>
      <c r="O38" s="3" t="n">
        <v>43344</v>
      </c>
      <c r="P38" s="30" t="inlineStr">
        <is>
          <t>No Match Found</t>
        </is>
      </c>
      <c r="Q38" s="30" t="inlineStr">
        <is>
          <t>NA</t>
        </is>
      </c>
      <c r="R38" s="19" t="n">
        <v>43344</v>
      </c>
      <c r="S38" s="46" t="b">
        <v>1</v>
      </c>
      <c r="T38" s="3" t="n">
        <v>43406</v>
      </c>
      <c r="U38" s="30" t="inlineStr">
        <is>
          <t>No Match Found</t>
        </is>
      </c>
      <c r="V38" s="30" t="inlineStr">
        <is>
          <t>NA</t>
        </is>
      </c>
      <c r="W38" s="19" t="n">
        <v>43406</v>
      </c>
      <c r="X38" s="46" t="b">
        <v>1</v>
      </c>
      <c r="Z38" s="29" t="inlineStr">
        <is>
          <t>No Match Found</t>
        </is>
      </c>
      <c r="AA38" s="29" t="inlineStr">
        <is>
          <t>NA</t>
        </is>
      </c>
      <c r="AC38" s="47" t="b">
        <v>1</v>
      </c>
      <c r="AD38" t="inlineStr">
        <is>
          <t>X</t>
        </is>
      </c>
      <c r="AE38" t="inlineStr">
        <is>
          <t>N</t>
        </is>
      </c>
      <c r="AF38" s="4" t="n">
        <v>0</v>
      </c>
      <c r="AG38" t="inlineStr">
        <is>
          <t>N</t>
        </is>
      </c>
      <c r="AH38" t="inlineStr">
        <is>
          <t>N</t>
        </is>
      </c>
      <c r="AI38" s="5" t="n">
        <v>965.1900000000001</v>
      </c>
      <c r="AJ38" s="6" t="n">
        <v>0</v>
      </c>
      <c r="AK38" s="35" t="inlineStr">
        <is>
          <t>No Match Found</t>
        </is>
      </c>
      <c r="AL38" s="35" t="inlineStr">
        <is>
          <t>NA</t>
        </is>
      </c>
      <c r="AM38" s="6" t="n">
        <v>1</v>
      </c>
      <c r="AN38" s="24" t="n">
        <v>1</v>
      </c>
      <c r="AO38" s="48" t="b">
        <v>1</v>
      </c>
      <c r="AP38" s="5" t="n">
        <v>0</v>
      </c>
      <c r="AQ38" s="41" t="inlineStr">
        <is>
          <t>No Match Found</t>
        </is>
      </c>
      <c r="AR38" s="41" t="inlineStr">
        <is>
          <t>NA</t>
        </is>
      </c>
      <c r="AS38" s="5" t="n">
        <v>0</v>
      </c>
      <c r="AT38" s="5" t="n">
        <v>0</v>
      </c>
      <c r="AU38" s="41" t="inlineStr">
        <is>
          <t>No Match Found</t>
        </is>
      </c>
      <c r="AV38" s="41" t="inlineStr">
        <is>
          <t>NA</t>
        </is>
      </c>
      <c r="AW38" s="5" t="n">
        <v>0</v>
      </c>
      <c r="AX38" s="41" t="inlineStr">
        <is>
          <t>No Match Found</t>
        </is>
      </c>
      <c r="AY38" s="41" t="inlineStr">
        <is>
          <t>NA</t>
        </is>
      </c>
      <c r="AZ38" s="5" t="n">
        <v>0</v>
      </c>
      <c r="BA38" s="5" t="n">
        <v>0</v>
      </c>
      <c r="BB38" s="5" t="n">
        <v>0</v>
      </c>
      <c r="BC38" s="5" t="n">
        <v>0</v>
      </c>
      <c r="BD38" s="41" t="inlineStr">
        <is>
          <t>No Match Found</t>
        </is>
      </c>
      <c r="BE38" s="41" t="inlineStr">
        <is>
          <t>NA</t>
        </is>
      </c>
      <c r="BF38" s="5" t="n">
        <v>0</v>
      </c>
      <c r="BG38" s="5" t="n">
        <v>0</v>
      </c>
      <c r="BI38" t="inlineStr">
        <is>
          <t>Processed</t>
        </is>
      </c>
    </row>
    <row r="39">
      <c r="A39" t="n">
        <v>6</v>
      </c>
      <c r="B39" t="inlineStr">
        <is>
          <t>SXDF</t>
        </is>
      </c>
      <c r="D39" t="inlineStr"/>
      <c r="E39" s="3" t="n">
        <v>34142</v>
      </c>
      <c r="F39" s="30" t="inlineStr">
        <is>
          <t>No Match Found</t>
        </is>
      </c>
      <c r="G39" s="30" t="inlineStr">
        <is>
          <t>NA</t>
        </is>
      </c>
      <c r="H39" s="19" t="n">
        <v>34142</v>
      </c>
      <c r="I39" s="46" t="b">
        <v>1</v>
      </c>
      <c r="J39" s="3" t="n">
        <v>42975</v>
      </c>
      <c r="K39" s="30" t="inlineStr">
        <is>
          <t>No Match Found</t>
        </is>
      </c>
      <c r="L39" s="30" t="inlineStr">
        <is>
          <t>NA</t>
        </is>
      </c>
      <c r="M39" s="19" t="n">
        <v>42975</v>
      </c>
      <c r="N39" s="46" t="b">
        <v>1</v>
      </c>
      <c r="O39" s="3" t="n">
        <v>43344</v>
      </c>
      <c r="P39" s="30" t="inlineStr">
        <is>
          <t>No Match Found</t>
        </is>
      </c>
      <c r="Q39" s="30" t="inlineStr">
        <is>
          <t>NA</t>
        </is>
      </c>
      <c r="R39" s="19" t="n">
        <v>43344</v>
      </c>
      <c r="S39" s="46" t="b">
        <v>1</v>
      </c>
      <c r="T39" s="3" t="n">
        <v>44652</v>
      </c>
      <c r="U39" s="30" t="inlineStr">
        <is>
          <t>No Match Found</t>
        </is>
      </c>
      <c r="V39" s="30" t="inlineStr">
        <is>
          <t>NA</t>
        </is>
      </c>
      <c r="W39" s="19" t="n">
        <v>44652</v>
      </c>
      <c r="X39" s="46" t="b">
        <v>1</v>
      </c>
      <c r="Z39" s="29" t="inlineStr">
        <is>
          <t>No Match Found</t>
        </is>
      </c>
      <c r="AA39" s="29" t="inlineStr">
        <is>
          <t>NA</t>
        </is>
      </c>
      <c r="AC39" s="47" t="b">
        <v>1</v>
      </c>
      <c r="AD39" t="inlineStr">
        <is>
          <t>X</t>
        </is>
      </c>
      <c r="AE39" t="inlineStr">
        <is>
          <t>N</t>
        </is>
      </c>
      <c r="AF39" s="4" t="n">
        <v>0</v>
      </c>
      <c r="AG39" t="inlineStr">
        <is>
          <t>N</t>
        </is>
      </c>
      <c r="AH39" t="inlineStr">
        <is>
          <t>N</t>
        </is>
      </c>
      <c r="AI39" s="5" t="n">
        <v>19658.69</v>
      </c>
      <c r="AJ39" s="6" t="n">
        <v>0</v>
      </c>
      <c r="AK39" s="35" t="inlineStr">
        <is>
          <t>No Match Found</t>
        </is>
      </c>
      <c r="AL39" s="35" t="inlineStr">
        <is>
          <t>NA</t>
        </is>
      </c>
      <c r="AM39" s="6" t="n">
        <v>4</v>
      </c>
      <c r="AN39" s="24" t="n">
        <v>4</v>
      </c>
      <c r="AO39" s="48" t="b">
        <v>1</v>
      </c>
      <c r="AP39" s="5" t="n">
        <v>0</v>
      </c>
      <c r="AQ39" s="41" t="inlineStr">
        <is>
          <t>No Match Found</t>
        </is>
      </c>
      <c r="AR39" s="41" t="inlineStr">
        <is>
          <t>NA</t>
        </is>
      </c>
      <c r="AS39" s="5" t="n">
        <v>0</v>
      </c>
      <c r="AT39" s="5" t="n">
        <v>0</v>
      </c>
      <c r="AU39" s="41" t="inlineStr">
        <is>
          <t>No Match Found</t>
        </is>
      </c>
      <c r="AV39" s="41" t="inlineStr">
        <is>
          <t>NA</t>
        </is>
      </c>
      <c r="AW39" s="5" t="n">
        <v>0</v>
      </c>
      <c r="AX39" s="41" t="inlineStr">
        <is>
          <t>No Match Found</t>
        </is>
      </c>
      <c r="AY39" s="41" t="inlineStr">
        <is>
          <t>NA</t>
        </is>
      </c>
      <c r="AZ39" s="5" t="n">
        <v>0</v>
      </c>
      <c r="BA39" s="5" t="n">
        <v>0</v>
      </c>
      <c r="BB39" s="5" t="n">
        <v>0</v>
      </c>
      <c r="BC39" s="5" t="n">
        <v>0</v>
      </c>
      <c r="BD39" s="41" t="inlineStr">
        <is>
          <t>No Match Found</t>
        </is>
      </c>
      <c r="BE39" s="41" t="inlineStr">
        <is>
          <t>NA</t>
        </is>
      </c>
      <c r="BF39" s="5" t="n">
        <v>0</v>
      </c>
      <c r="BG39" s="5" t="n">
        <v>0</v>
      </c>
      <c r="BI39" t="inlineStr">
        <is>
          <t>Processed</t>
        </is>
      </c>
    </row>
    <row r="40">
      <c r="A40" t="n">
        <v>7</v>
      </c>
      <c r="B40" t="inlineStr">
        <is>
          <t>AZXS</t>
        </is>
      </c>
      <c r="D40" t="inlineStr"/>
      <c r="E40" s="3" t="n">
        <v>31880</v>
      </c>
      <c r="F40" s="30" t="inlineStr">
        <is>
          <t>No Match Found</t>
        </is>
      </c>
      <c r="G40" s="30" t="inlineStr">
        <is>
          <t>NA</t>
        </is>
      </c>
      <c r="H40" s="19" t="n">
        <v>31880</v>
      </c>
      <c r="I40" s="46" t="b">
        <v>1</v>
      </c>
      <c r="J40" s="3" t="n">
        <v>43297</v>
      </c>
      <c r="K40" s="30" t="inlineStr">
        <is>
          <t>No Match Found</t>
        </is>
      </c>
      <c r="L40" s="30" t="inlineStr">
        <is>
          <t>NA</t>
        </is>
      </c>
      <c r="M40" s="19" t="n">
        <v>43297</v>
      </c>
      <c r="N40" s="46" t="b">
        <v>1</v>
      </c>
      <c r="O40" s="3" t="n">
        <v>43678</v>
      </c>
      <c r="P40" s="30" t="inlineStr">
        <is>
          <t>No Match Found</t>
        </is>
      </c>
      <c r="Q40" s="30" t="inlineStr">
        <is>
          <t>NA</t>
        </is>
      </c>
      <c r="R40" s="19" t="n">
        <v>43678</v>
      </c>
      <c r="S40" s="46" t="b">
        <v>1</v>
      </c>
      <c r="T40" s="3" t="n">
        <v>44377</v>
      </c>
      <c r="U40" s="30" t="inlineStr">
        <is>
          <t>No Match Found</t>
        </is>
      </c>
      <c r="V40" s="30" t="inlineStr">
        <is>
          <t>NA</t>
        </is>
      </c>
      <c r="W40" s="19" t="n">
        <v>44377</v>
      </c>
      <c r="X40" s="46" t="b">
        <v>1</v>
      </c>
      <c r="Z40" s="29" t="inlineStr">
        <is>
          <t>No Match Found</t>
        </is>
      </c>
      <c r="AA40" s="29" t="inlineStr">
        <is>
          <t>NA</t>
        </is>
      </c>
      <c r="AC40" s="47" t="b">
        <v>1</v>
      </c>
      <c r="AD40" t="inlineStr">
        <is>
          <t>X</t>
        </is>
      </c>
      <c r="AE40" t="inlineStr">
        <is>
          <t>N</t>
        </is>
      </c>
      <c r="AF40" s="4" t="n">
        <v>0</v>
      </c>
      <c r="AG40" t="inlineStr">
        <is>
          <t>N</t>
        </is>
      </c>
      <c r="AH40" t="inlineStr">
        <is>
          <t>N</t>
        </is>
      </c>
      <c r="AI40" s="5" t="n">
        <v>0</v>
      </c>
      <c r="AJ40" s="6" t="n">
        <v>0</v>
      </c>
      <c r="AK40" s="35" t="inlineStr">
        <is>
          <t>No Match Found</t>
        </is>
      </c>
      <c r="AL40" s="35" t="inlineStr">
        <is>
          <t>NA</t>
        </is>
      </c>
      <c r="AM40" s="6" t="n">
        <v>3</v>
      </c>
      <c r="AN40" s="24" t="n">
        <v>3</v>
      </c>
      <c r="AO40" s="48" t="b">
        <v>1</v>
      </c>
      <c r="AP40" s="5" t="n">
        <v>0</v>
      </c>
      <c r="AQ40" s="41" t="inlineStr">
        <is>
          <t>No Match Found</t>
        </is>
      </c>
      <c r="AR40" s="41" t="inlineStr">
        <is>
          <t>NA</t>
        </is>
      </c>
      <c r="AS40" s="5" t="n">
        <v>0</v>
      </c>
      <c r="AT40" s="5" t="n">
        <v>0</v>
      </c>
      <c r="AU40" s="41" t="inlineStr">
        <is>
          <t>No Match Found</t>
        </is>
      </c>
      <c r="AV40" s="41" t="inlineStr">
        <is>
          <t>NA</t>
        </is>
      </c>
      <c r="AW40" s="5" t="n">
        <v>0</v>
      </c>
      <c r="AX40" s="41" t="inlineStr">
        <is>
          <t>No Match Found</t>
        </is>
      </c>
      <c r="AY40" s="41" t="inlineStr">
        <is>
          <t>NA</t>
        </is>
      </c>
      <c r="AZ40" s="5" t="n">
        <v>0</v>
      </c>
      <c r="BA40" s="5" t="n">
        <v>0</v>
      </c>
      <c r="BB40" s="5" t="n">
        <v>0</v>
      </c>
      <c r="BC40" s="5" t="n">
        <v>0</v>
      </c>
      <c r="BD40" s="41" t="inlineStr">
        <is>
          <t>No Match Found</t>
        </is>
      </c>
      <c r="BE40" s="41" t="inlineStr">
        <is>
          <t>NA</t>
        </is>
      </c>
      <c r="BF40" s="5" t="n">
        <v>0</v>
      </c>
      <c r="BG40" s="5" t="n">
        <v>0</v>
      </c>
      <c r="BI40" t="inlineStr">
        <is>
          <t>Processed</t>
        </is>
      </c>
    </row>
    <row r="41">
      <c r="A41" t="n">
        <v>8</v>
      </c>
      <c r="B41" t="inlineStr">
        <is>
          <t>WERD</t>
        </is>
      </c>
      <c r="D41" t="inlineStr"/>
      <c r="E41" s="3" t="n">
        <v>33345</v>
      </c>
      <c r="F41" s="30" t="inlineStr">
        <is>
          <t>No Match Found</t>
        </is>
      </c>
      <c r="G41" s="30" t="inlineStr">
        <is>
          <t>NA</t>
        </is>
      </c>
      <c r="H41" s="19" t="n">
        <v>33345</v>
      </c>
      <c r="I41" s="46" t="b">
        <v>1</v>
      </c>
      <c r="J41" s="3" t="n">
        <v>43479</v>
      </c>
      <c r="K41" s="30" t="inlineStr">
        <is>
          <t>No Match Found</t>
        </is>
      </c>
      <c r="L41" s="30" t="inlineStr">
        <is>
          <t>NA</t>
        </is>
      </c>
      <c r="M41" s="19" t="n">
        <v>43479</v>
      </c>
      <c r="N41" s="46" t="b">
        <v>1</v>
      </c>
      <c r="O41" s="3" t="n">
        <v>43862</v>
      </c>
      <c r="P41" s="30" t="inlineStr">
        <is>
          <t>No Match Found</t>
        </is>
      </c>
      <c r="Q41" s="30" t="inlineStr">
        <is>
          <t>NA</t>
        </is>
      </c>
      <c r="R41" s="19" t="n">
        <v>43862</v>
      </c>
      <c r="S41" s="46" t="b">
        <v>1</v>
      </c>
      <c r="T41" s="3" t="n">
        <v>43917</v>
      </c>
      <c r="U41" s="30" t="inlineStr">
        <is>
          <t>No Match Found</t>
        </is>
      </c>
      <c r="V41" s="30" t="inlineStr">
        <is>
          <t>NA</t>
        </is>
      </c>
      <c r="W41" s="19" t="n">
        <v>43917</v>
      </c>
      <c r="X41" s="46" t="b">
        <v>1</v>
      </c>
      <c r="Z41" s="29" t="inlineStr">
        <is>
          <t>No Match Found</t>
        </is>
      </c>
      <c r="AA41" s="29" t="inlineStr">
        <is>
          <t>NA</t>
        </is>
      </c>
      <c r="AC41" s="47" t="b">
        <v>1</v>
      </c>
      <c r="AD41" t="inlineStr">
        <is>
          <t>X</t>
        </is>
      </c>
      <c r="AE41" t="inlineStr">
        <is>
          <t>N</t>
        </is>
      </c>
      <c r="AF41" s="4" t="n">
        <v>0</v>
      </c>
      <c r="AG41" t="inlineStr">
        <is>
          <t>N</t>
        </is>
      </c>
      <c r="AH41" t="inlineStr">
        <is>
          <t>N</t>
        </is>
      </c>
      <c r="AI41" s="5" t="n">
        <v>708.48</v>
      </c>
      <c r="AJ41" s="6" t="n">
        <v>0</v>
      </c>
      <c r="AK41" s="35" t="inlineStr">
        <is>
          <t>No Match Found</t>
        </is>
      </c>
      <c r="AL41" s="35" t="inlineStr">
        <is>
          <t>NA</t>
        </is>
      </c>
      <c r="AM41" s="6" t="n">
        <v>1</v>
      </c>
      <c r="AN41" s="24" t="n">
        <v>1</v>
      </c>
      <c r="AO41" s="48" t="b">
        <v>1</v>
      </c>
      <c r="AP41" s="5" t="n">
        <v>0</v>
      </c>
      <c r="AQ41" s="41" t="inlineStr">
        <is>
          <t>No Match Found</t>
        </is>
      </c>
      <c r="AR41" s="41" t="inlineStr">
        <is>
          <t>NA</t>
        </is>
      </c>
      <c r="AS41" s="5" t="n">
        <v>0</v>
      </c>
      <c r="AT41" s="5" t="n">
        <v>0</v>
      </c>
      <c r="AU41" s="41" t="inlineStr">
        <is>
          <t>No Match Found</t>
        </is>
      </c>
      <c r="AV41" s="41" t="inlineStr">
        <is>
          <t>NA</t>
        </is>
      </c>
      <c r="AW41" s="5" t="n">
        <v>0</v>
      </c>
      <c r="AX41" s="41" t="inlineStr">
        <is>
          <t>No Match Found</t>
        </is>
      </c>
      <c r="AY41" s="41" t="inlineStr">
        <is>
          <t>NA</t>
        </is>
      </c>
      <c r="AZ41" s="5" t="n">
        <v>0</v>
      </c>
      <c r="BA41" s="5" t="n">
        <v>0</v>
      </c>
      <c r="BB41" s="5" t="n">
        <v>0</v>
      </c>
      <c r="BC41" s="5" t="n">
        <v>0</v>
      </c>
      <c r="BD41" s="41" t="inlineStr">
        <is>
          <t>No Match Found</t>
        </is>
      </c>
      <c r="BE41" s="41" t="inlineStr">
        <is>
          <t>NA</t>
        </is>
      </c>
      <c r="BF41" s="5" t="n">
        <v>0</v>
      </c>
      <c r="BG41" s="5" t="n">
        <v>0</v>
      </c>
      <c r="BI41" t="inlineStr">
        <is>
          <t>Processed</t>
        </is>
      </c>
    </row>
    <row r="42">
      <c r="A42" t="n">
        <v>9</v>
      </c>
      <c r="B42" t="inlineStr">
        <is>
          <t>CDFT</t>
        </is>
      </c>
      <c r="D42" t="inlineStr"/>
      <c r="E42" s="3" t="n">
        <v>36048</v>
      </c>
      <c r="F42" s="30" t="inlineStr">
        <is>
          <t>No Match Found</t>
        </is>
      </c>
      <c r="G42" s="30" t="inlineStr">
        <is>
          <t>NA</t>
        </is>
      </c>
      <c r="H42" s="19" t="n">
        <v>36048</v>
      </c>
      <c r="I42" s="46" t="b">
        <v>1</v>
      </c>
      <c r="J42" s="3" t="n">
        <v>43990</v>
      </c>
      <c r="K42" s="30" t="inlineStr">
        <is>
          <t>No Match Found</t>
        </is>
      </c>
      <c r="L42" s="30" t="inlineStr">
        <is>
          <t>NA</t>
        </is>
      </c>
      <c r="M42" s="19" t="n">
        <v>43990</v>
      </c>
      <c r="N42" s="46" t="b">
        <v>1</v>
      </c>
      <c r="O42" s="3" t="n">
        <v>44378</v>
      </c>
      <c r="P42" s="30" t="inlineStr">
        <is>
          <t>No Match Found</t>
        </is>
      </c>
      <c r="Q42" s="30" t="inlineStr">
        <is>
          <t>NA</t>
        </is>
      </c>
      <c r="R42" s="19" t="n">
        <v>44378</v>
      </c>
      <c r="S42" s="46" t="b">
        <v>1</v>
      </c>
      <c r="T42" s="3" t="n">
        <v>44393</v>
      </c>
      <c r="U42" s="30" t="inlineStr">
        <is>
          <t>No Match Found</t>
        </is>
      </c>
      <c r="V42" s="30" t="inlineStr">
        <is>
          <t>NA</t>
        </is>
      </c>
      <c r="W42" s="19" t="n">
        <v>44393</v>
      </c>
      <c r="X42" s="46" t="b">
        <v>1</v>
      </c>
      <c r="Z42" s="29" t="inlineStr">
        <is>
          <t>No Match Found</t>
        </is>
      </c>
      <c r="AA42" s="29" t="inlineStr">
        <is>
          <t>NA</t>
        </is>
      </c>
      <c r="AC42" s="47" t="b">
        <v>1</v>
      </c>
      <c r="AD42" t="inlineStr">
        <is>
          <t>X</t>
        </is>
      </c>
      <c r="AE42" t="inlineStr">
        <is>
          <t>N</t>
        </is>
      </c>
      <c r="AF42" s="4" t="n">
        <v>0</v>
      </c>
      <c r="AG42" t="inlineStr">
        <is>
          <t>N</t>
        </is>
      </c>
      <c r="AH42" t="inlineStr">
        <is>
          <t>N</t>
        </is>
      </c>
      <c r="AI42" s="5" t="n">
        <v>171.46</v>
      </c>
      <c r="AJ42" s="6" t="n">
        <v>0</v>
      </c>
      <c r="AK42" s="35" t="inlineStr">
        <is>
          <t>No Match Found</t>
        </is>
      </c>
      <c r="AL42" s="35" t="inlineStr">
        <is>
          <t>NA</t>
        </is>
      </c>
      <c r="AM42" s="6" t="n">
        <v>2</v>
      </c>
      <c r="AN42" s="24" t="n">
        <v>2</v>
      </c>
      <c r="AO42" s="48" t="b">
        <v>1</v>
      </c>
      <c r="AP42" s="5" t="n">
        <v>0</v>
      </c>
      <c r="AQ42" s="41" t="inlineStr">
        <is>
          <t>No Match Found</t>
        </is>
      </c>
      <c r="AR42" s="41" t="inlineStr">
        <is>
          <t>NA</t>
        </is>
      </c>
      <c r="AS42" s="5" t="n">
        <v>0</v>
      </c>
      <c r="AT42" s="5" t="n">
        <v>0</v>
      </c>
      <c r="AU42" s="41" t="inlineStr">
        <is>
          <t>No Match Found</t>
        </is>
      </c>
      <c r="AV42" s="41" t="inlineStr">
        <is>
          <t>NA</t>
        </is>
      </c>
      <c r="AW42" s="5" t="n">
        <v>0</v>
      </c>
      <c r="AX42" s="41" t="inlineStr">
        <is>
          <t>No Match Found</t>
        </is>
      </c>
      <c r="AY42" s="41" t="inlineStr">
        <is>
          <t>NA</t>
        </is>
      </c>
      <c r="AZ42" s="5" t="n">
        <v>0</v>
      </c>
      <c r="BA42" s="5" t="n">
        <v>0</v>
      </c>
      <c r="BB42" s="5" t="n">
        <v>0</v>
      </c>
      <c r="BC42" s="5" t="n">
        <v>0</v>
      </c>
      <c r="BD42" s="41" t="inlineStr">
        <is>
          <t>No Match Found</t>
        </is>
      </c>
      <c r="BE42" s="41" t="inlineStr">
        <is>
          <t>NA</t>
        </is>
      </c>
      <c r="BF42" s="5" t="n">
        <v>0</v>
      </c>
      <c r="BG42" s="5" t="n">
        <v>0</v>
      </c>
      <c r="BI42" t="inlineStr">
        <is>
          <t>Processed</t>
        </is>
      </c>
    </row>
    <row r="43">
      <c r="A43" t="n">
        <v>10</v>
      </c>
      <c r="B43" t="inlineStr">
        <is>
          <t>UHBN</t>
        </is>
      </c>
      <c r="D43" t="inlineStr"/>
      <c r="E43" s="3" t="n">
        <v>31349</v>
      </c>
      <c r="F43" s="30" t="inlineStr">
        <is>
          <t>No Match Found</t>
        </is>
      </c>
      <c r="G43" s="30" t="inlineStr">
        <is>
          <t>NA</t>
        </is>
      </c>
      <c r="H43" s="19" t="n">
        <v>31349</v>
      </c>
      <c r="I43" s="46" t="b">
        <v>1</v>
      </c>
      <c r="J43" s="3" t="n">
        <v>44046</v>
      </c>
      <c r="K43" s="30" t="inlineStr">
        <is>
          <t>No Match Found</t>
        </is>
      </c>
      <c r="L43" s="30" t="inlineStr">
        <is>
          <t>NA</t>
        </is>
      </c>
      <c r="M43" s="19" t="n">
        <v>44046</v>
      </c>
      <c r="N43" s="46" t="b">
        <v>1</v>
      </c>
      <c r="O43" s="3" t="n">
        <v>44440</v>
      </c>
      <c r="P43" s="30" t="inlineStr">
        <is>
          <t>No Match Found</t>
        </is>
      </c>
      <c r="Q43" s="30" t="inlineStr">
        <is>
          <t>NA</t>
        </is>
      </c>
      <c r="R43" s="19" t="n">
        <v>44440</v>
      </c>
      <c r="S43" s="46" t="b">
        <v>1</v>
      </c>
      <c r="T43" s="3" t="n">
        <v>44827</v>
      </c>
      <c r="U43" s="30" t="inlineStr">
        <is>
          <t>No Match Found</t>
        </is>
      </c>
      <c r="V43" s="30" t="inlineStr">
        <is>
          <t>NA</t>
        </is>
      </c>
      <c r="W43" s="19" t="n">
        <v>44827</v>
      </c>
      <c r="X43" s="46" t="b">
        <v>1</v>
      </c>
      <c r="Z43" s="29" t="inlineStr">
        <is>
          <t>No Match Found</t>
        </is>
      </c>
      <c r="AA43" s="29" t="inlineStr">
        <is>
          <t>NA</t>
        </is>
      </c>
      <c r="AC43" s="47" t="b">
        <v>1</v>
      </c>
      <c r="AD43" t="inlineStr">
        <is>
          <t>X</t>
        </is>
      </c>
      <c r="AE43" t="inlineStr">
        <is>
          <t>N</t>
        </is>
      </c>
      <c r="AF43" s="4" t="n">
        <v>0</v>
      </c>
      <c r="AG43" t="inlineStr">
        <is>
          <t>N</t>
        </is>
      </c>
      <c r="AH43" t="inlineStr">
        <is>
          <t>N</t>
        </is>
      </c>
      <c r="AI43" s="5" t="n">
        <v>1018.76</v>
      </c>
      <c r="AJ43" s="6" t="n">
        <v>0</v>
      </c>
      <c r="AK43" s="35" t="inlineStr">
        <is>
          <t>No Match Found</t>
        </is>
      </c>
      <c r="AL43" s="35" t="inlineStr">
        <is>
          <t>NA</t>
        </is>
      </c>
      <c r="AM43" s="6" t="n">
        <v>2</v>
      </c>
      <c r="AN43" s="24" t="n">
        <v>2</v>
      </c>
      <c r="AO43" s="48" t="b">
        <v>1</v>
      </c>
      <c r="AP43" s="5" t="n">
        <v>0</v>
      </c>
      <c r="AQ43" s="41" t="inlineStr">
        <is>
          <t>No Match Found</t>
        </is>
      </c>
      <c r="AR43" s="41" t="inlineStr">
        <is>
          <t>NA</t>
        </is>
      </c>
      <c r="AS43" s="5" t="n">
        <v>0</v>
      </c>
      <c r="AT43" s="5" t="n">
        <v>0</v>
      </c>
      <c r="AU43" s="41" t="inlineStr">
        <is>
          <t>No Match Found</t>
        </is>
      </c>
      <c r="AV43" s="41" t="inlineStr">
        <is>
          <t>NA</t>
        </is>
      </c>
      <c r="AW43" s="5" t="n">
        <v>0</v>
      </c>
      <c r="AX43" s="41" t="inlineStr">
        <is>
          <t>No Match Found</t>
        </is>
      </c>
      <c r="AY43" s="41" t="inlineStr">
        <is>
          <t>NA</t>
        </is>
      </c>
      <c r="AZ43" s="5" t="n">
        <v>0</v>
      </c>
      <c r="BA43" s="5" t="n">
        <v>0</v>
      </c>
      <c r="BB43" s="5" t="n">
        <v>0</v>
      </c>
      <c r="BC43" s="5" t="n">
        <v>0</v>
      </c>
      <c r="BD43" s="41" t="inlineStr">
        <is>
          <t>No Match Found</t>
        </is>
      </c>
      <c r="BE43" s="41" t="inlineStr">
        <is>
          <t>NA</t>
        </is>
      </c>
      <c r="BF43" s="5" t="n">
        <v>0</v>
      </c>
      <c r="BG43" s="5" t="n">
        <v>0</v>
      </c>
      <c r="BI43" t="inlineStr">
        <is>
          <t>Processed</t>
        </is>
      </c>
    </row>
    <row r="44">
      <c r="A44" t="n">
        <v>11</v>
      </c>
      <c r="B44" t="inlineStr">
        <is>
          <t>JJHI</t>
        </is>
      </c>
      <c r="D44" t="inlineStr"/>
      <c r="E44" s="3" t="n">
        <v>27296</v>
      </c>
      <c r="F44" s="30" t="inlineStr">
        <is>
          <t>No Match Found</t>
        </is>
      </c>
      <c r="G44" s="30" t="inlineStr">
        <is>
          <t>NA</t>
        </is>
      </c>
      <c r="H44" s="19" t="n">
        <v>27296</v>
      </c>
      <c r="I44" s="46" t="b">
        <v>1</v>
      </c>
      <c r="J44" s="3" t="n">
        <v>44089</v>
      </c>
      <c r="K44" s="30" t="inlineStr">
        <is>
          <t>No Match Found</t>
        </is>
      </c>
      <c r="L44" s="30" t="inlineStr">
        <is>
          <t>NA</t>
        </is>
      </c>
      <c r="M44" s="19" t="n">
        <v>44089</v>
      </c>
      <c r="N44" s="46" t="b">
        <v>1</v>
      </c>
      <c r="O44" s="3" t="n">
        <v>44470</v>
      </c>
      <c r="P44" s="30" t="inlineStr">
        <is>
          <t>No Match Found</t>
        </is>
      </c>
      <c r="Q44" s="30" t="inlineStr">
        <is>
          <t>NA</t>
        </is>
      </c>
      <c r="R44" s="19" t="n">
        <v>44470</v>
      </c>
      <c r="S44" s="46" t="b">
        <v>1</v>
      </c>
      <c r="T44" s="3" t="n">
        <v>44750</v>
      </c>
      <c r="U44" s="30" t="inlineStr">
        <is>
          <t>No Match Found</t>
        </is>
      </c>
      <c r="V44" s="30" t="inlineStr">
        <is>
          <t>NA</t>
        </is>
      </c>
      <c r="W44" s="19" t="n">
        <v>44750</v>
      </c>
      <c r="X44" s="46" t="b">
        <v>1</v>
      </c>
      <c r="Z44" s="29" t="inlineStr">
        <is>
          <t>No Match Found</t>
        </is>
      </c>
      <c r="AA44" s="29" t="inlineStr">
        <is>
          <t>NA</t>
        </is>
      </c>
      <c r="AC44" s="47" t="b">
        <v>1</v>
      </c>
      <c r="AD44" t="inlineStr">
        <is>
          <t>X</t>
        </is>
      </c>
      <c r="AE44" t="inlineStr">
        <is>
          <t>N</t>
        </is>
      </c>
      <c r="AF44" s="4" t="n">
        <v>0</v>
      </c>
      <c r="AG44" t="inlineStr">
        <is>
          <t>N</t>
        </is>
      </c>
      <c r="AH44" t="inlineStr">
        <is>
          <t>N</t>
        </is>
      </c>
      <c r="AI44" s="5" t="n">
        <v>-3087.66</v>
      </c>
      <c r="AJ44" s="6" t="n">
        <v>0</v>
      </c>
      <c r="AK44" s="35" t="inlineStr">
        <is>
          <t>No Match Found</t>
        </is>
      </c>
      <c r="AL44" s="35" t="inlineStr">
        <is>
          <t>NA</t>
        </is>
      </c>
      <c r="AM44" s="6" t="n">
        <v>2</v>
      </c>
      <c r="AN44" s="24" t="n">
        <v>2</v>
      </c>
      <c r="AO44" s="48" t="b">
        <v>1</v>
      </c>
      <c r="AP44" s="5" t="n">
        <v>0</v>
      </c>
      <c r="AQ44" s="41" t="inlineStr">
        <is>
          <t>No Match Found</t>
        </is>
      </c>
      <c r="AR44" s="41" t="inlineStr">
        <is>
          <t>NA</t>
        </is>
      </c>
      <c r="AS44" s="5" t="n">
        <v>0</v>
      </c>
      <c r="AT44" s="5" t="n">
        <v>0</v>
      </c>
      <c r="AU44" s="41" t="inlineStr">
        <is>
          <t>No Match Found</t>
        </is>
      </c>
      <c r="AV44" s="41" t="inlineStr">
        <is>
          <t>NA</t>
        </is>
      </c>
      <c r="AW44" s="5" t="n">
        <v>0</v>
      </c>
      <c r="AX44" s="41" t="inlineStr">
        <is>
          <t>No Match Found</t>
        </is>
      </c>
      <c r="AY44" s="41" t="inlineStr">
        <is>
          <t>NA</t>
        </is>
      </c>
      <c r="AZ44" s="5" t="n">
        <v>0</v>
      </c>
      <c r="BA44" s="5" t="n">
        <v>0</v>
      </c>
      <c r="BB44" s="5" t="n">
        <v>0</v>
      </c>
      <c r="BC44" s="5" t="n">
        <v>0</v>
      </c>
      <c r="BD44" s="41" t="inlineStr">
        <is>
          <t>No Match Found</t>
        </is>
      </c>
      <c r="BE44" s="41" t="inlineStr">
        <is>
          <t>NA</t>
        </is>
      </c>
      <c r="BF44" s="5" t="n">
        <v>0</v>
      </c>
      <c r="BG44" s="5" t="n">
        <v>0</v>
      </c>
      <c r="BI44" t="inlineStr">
        <is>
          <t>Processed</t>
        </is>
      </c>
    </row>
    <row r="45">
      <c r="A45" t="n">
        <v>12</v>
      </c>
      <c r="B45" t="inlineStr">
        <is>
          <t>EDFR</t>
        </is>
      </c>
      <c r="D45" t="inlineStr"/>
      <c r="E45" s="3" t="n">
        <v>33037</v>
      </c>
      <c r="F45" s="30" t="inlineStr">
        <is>
          <t>No Match Found</t>
        </is>
      </c>
      <c r="G45" s="30" t="inlineStr">
        <is>
          <t>NA</t>
        </is>
      </c>
      <c r="H45" s="19" t="n">
        <v>33037</v>
      </c>
      <c r="I45" s="46" t="b">
        <v>1</v>
      </c>
      <c r="J45" s="3" t="n">
        <v>44116</v>
      </c>
      <c r="K45" s="30" t="inlineStr">
        <is>
          <t>No Match Found</t>
        </is>
      </c>
      <c r="L45" s="30" t="inlineStr">
        <is>
          <t>NA</t>
        </is>
      </c>
      <c r="M45" s="19" t="n">
        <v>44116</v>
      </c>
      <c r="N45" s="46" t="b">
        <v>1</v>
      </c>
      <c r="O45" s="3" t="n">
        <v>44501</v>
      </c>
      <c r="P45" s="30" t="inlineStr">
        <is>
          <t>No Match Found</t>
        </is>
      </c>
      <c r="Q45" s="30" t="inlineStr">
        <is>
          <t>NA</t>
        </is>
      </c>
      <c r="R45" s="19" t="n">
        <v>44501</v>
      </c>
      <c r="S45" s="46" t="b">
        <v>1</v>
      </c>
      <c r="T45" s="3" t="n">
        <v>44748</v>
      </c>
      <c r="U45" s="30" t="inlineStr">
        <is>
          <t>No Match Found</t>
        </is>
      </c>
      <c r="V45" s="30" t="inlineStr">
        <is>
          <t>NA</t>
        </is>
      </c>
      <c r="W45" s="19" t="n">
        <v>44748</v>
      </c>
      <c r="X45" s="46" t="b">
        <v>1</v>
      </c>
      <c r="Z45" s="29" t="inlineStr">
        <is>
          <t>No Match Found</t>
        </is>
      </c>
      <c r="AA45" s="29" t="inlineStr">
        <is>
          <t>NA</t>
        </is>
      </c>
      <c r="AC45" s="47" t="b">
        <v>1</v>
      </c>
      <c r="AD45" t="inlineStr">
        <is>
          <t>X</t>
        </is>
      </c>
      <c r="AE45" t="inlineStr">
        <is>
          <t>N</t>
        </is>
      </c>
      <c r="AF45" s="4" t="n">
        <v>0</v>
      </c>
      <c r="AG45" t="inlineStr">
        <is>
          <t>N</t>
        </is>
      </c>
      <c r="AH45" t="inlineStr">
        <is>
          <t>N</t>
        </is>
      </c>
      <c r="AI45" s="5" t="n">
        <v>-1358.95</v>
      </c>
      <c r="AJ45" s="6" t="n">
        <v>0</v>
      </c>
      <c r="AK45" s="35" t="inlineStr">
        <is>
          <t>No Match Found</t>
        </is>
      </c>
      <c r="AL45" s="35" t="inlineStr">
        <is>
          <t>NA</t>
        </is>
      </c>
      <c r="AM45" s="6" t="n">
        <v>1</v>
      </c>
      <c r="AN45" s="24" t="n">
        <v>1</v>
      </c>
      <c r="AO45" s="48" t="b">
        <v>1</v>
      </c>
      <c r="AP45" s="5" t="n">
        <v>0</v>
      </c>
      <c r="AQ45" s="41" t="inlineStr">
        <is>
          <t>No Match Found</t>
        </is>
      </c>
      <c r="AR45" s="41" t="inlineStr">
        <is>
          <t>NA</t>
        </is>
      </c>
      <c r="AS45" s="5" t="n">
        <v>0</v>
      </c>
      <c r="AT45" s="5" t="n">
        <v>0</v>
      </c>
      <c r="AU45" s="41" t="inlineStr">
        <is>
          <t>No Match Found</t>
        </is>
      </c>
      <c r="AV45" s="41" t="inlineStr">
        <is>
          <t>NA</t>
        </is>
      </c>
      <c r="AW45" s="5" t="n">
        <v>0</v>
      </c>
      <c r="AX45" s="41" t="inlineStr">
        <is>
          <t>No Match Found</t>
        </is>
      </c>
      <c r="AY45" s="41" t="inlineStr">
        <is>
          <t>NA</t>
        </is>
      </c>
      <c r="AZ45" s="5" t="n">
        <v>0</v>
      </c>
      <c r="BA45" s="5" t="n">
        <v>0</v>
      </c>
      <c r="BB45" s="5" t="n">
        <v>0</v>
      </c>
      <c r="BC45" s="5" t="n">
        <v>0</v>
      </c>
      <c r="BD45" s="41" t="inlineStr">
        <is>
          <t>No Match Found</t>
        </is>
      </c>
      <c r="BE45" s="41" t="inlineStr">
        <is>
          <t>NA</t>
        </is>
      </c>
      <c r="BF45" s="5" t="n">
        <v>0</v>
      </c>
      <c r="BG45" s="5" t="n">
        <v>0</v>
      </c>
      <c r="BI45" t="inlineStr">
        <is>
          <t>Processed</t>
        </is>
      </c>
    </row>
    <row r="46" ht="13.5" customFormat="1" customHeight="1" s="7" thickBot="1">
      <c r="A46" s="7" t="n">
        <v>12</v>
      </c>
      <c r="B46" s="7" t="inlineStr">
        <is>
          <t>Total Non-Eligibles</t>
        </is>
      </c>
      <c r="F46" s="32"/>
      <c r="G46" s="32"/>
      <c r="H46" s="21"/>
      <c r="I46" s="21"/>
      <c r="K46" s="32"/>
      <c r="L46" s="32"/>
      <c r="M46" s="21"/>
      <c r="N46" s="21"/>
      <c r="P46" s="32"/>
      <c r="Q46" s="32"/>
      <c r="R46" s="21"/>
      <c r="S46" s="21"/>
      <c r="U46" s="32"/>
      <c r="V46" s="32"/>
      <c r="W46" s="21"/>
      <c r="X46" s="21"/>
      <c r="Z46" s="32"/>
      <c r="AA46" s="32"/>
      <c r="AB46" s="21"/>
      <c r="AC46" s="21"/>
      <c r="AI46" s="14">
        <f>SUM(AI34:AI45)</f>
        <v/>
      </c>
      <c r="AJ46" s="15">
        <f>SUM(AJ34:AJ45)</f>
        <v/>
      </c>
      <c r="AK46" s="38">
        <f>SUM(AK34:AK45)</f>
        <v/>
      </c>
      <c r="AL46" s="38">
        <f>SUM(AL34:AL45)</f>
        <v/>
      </c>
      <c r="AM46" s="15">
        <f>SUM(AM34:AM45)</f>
        <v/>
      </c>
      <c r="AN46" s="27">
        <f>SUM(AN34:AN45)</f>
        <v/>
      </c>
      <c r="AO46" s="27">
        <f>SUM(AO34:AO45)</f>
        <v/>
      </c>
      <c r="AP46" s="14">
        <f>SUM(AP34:AP45)</f>
        <v/>
      </c>
      <c r="AQ46" s="44">
        <f>SUM(AQ34:AQ45)</f>
        <v/>
      </c>
      <c r="AR46" s="44">
        <f>SUM(AR34:AR45)</f>
        <v/>
      </c>
      <c r="AS46" s="14">
        <f>SUM(AS34:AS45)</f>
        <v/>
      </c>
      <c r="AT46" s="14">
        <f>SUM(AT34:AT45)</f>
        <v/>
      </c>
      <c r="AU46" s="44">
        <f>SUM(AU34:AU45)</f>
        <v/>
      </c>
      <c r="AV46" s="44">
        <f>SUM(AV34:AV45)</f>
        <v/>
      </c>
      <c r="AW46" s="14">
        <f>SUM(AW34:AW45)</f>
        <v/>
      </c>
      <c r="AX46" s="44">
        <f>SUM(AX34:AX45)</f>
        <v/>
      </c>
      <c r="AY46" s="44">
        <f>SUM(AY34:AY45)</f>
        <v/>
      </c>
      <c r="AZ46" s="14">
        <f>SUM(AZ34:AZ45)</f>
        <v/>
      </c>
      <c r="BA46" s="14">
        <f>SUM(BA34:BA45)</f>
        <v/>
      </c>
      <c r="BB46" s="14">
        <f>SUM(BB34:BB45)</f>
        <v/>
      </c>
      <c r="BC46" s="14">
        <f>SUM(BC34:BC45)</f>
        <v/>
      </c>
      <c r="BD46" s="44">
        <f>SUM(BD34:BD45)</f>
        <v/>
      </c>
      <c r="BE46" s="44">
        <f>SUM(BE34:BE45)</f>
        <v/>
      </c>
      <c r="BF46" s="14">
        <f>SUM(BF34:BF45)</f>
        <v/>
      </c>
      <c r="BG46" s="14">
        <f>SUM(BG34:BG45)</f>
        <v/>
      </c>
      <c r="BH46" s="7">
        <f>SUM(BH34:BH45)</f>
        <v/>
      </c>
    </row>
    <row r="47" ht="12.95" customHeight="1" thickTop="1"/>
    <row r="48" ht="12.95" customFormat="1" customHeight="1" s="7">
      <c r="A48" s="7">
        <f>SUM(HCENum + NHCENum + 0 + NENum)</f>
        <v/>
      </c>
      <c r="B48" s="7" t="inlineStr">
        <is>
          <t>Grand Totals</t>
        </is>
      </c>
      <c r="F48" s="32"/>
      <c r="G48" s="32"/>
      <c r="H48" s="21"/>
      <c r="I48" s="21"/>
      <c r="K48" s="32"/>
      <c r="L48" s="32"/>
      <c r="M48" s="21"/>
      <c r="N48" s="21"/>
      <c r="P48" s="32"/>
      <c r="Q48" s="32"/>
      <c r="R48" s="21"/>
      <c r="S48" s="21"/>
      <c r="U48" s="32"/>
      <c r="V48" s="32"/>
      <c r="W48" s="21"/>
      <c r="X48" s="21"/>
      <c r="Z48" s="32"/>
      <c r="AA48" s="32"/>
      <c r="AB48" s="21"/>
      <c r="AC48" s="21"/>
      <c r="AI48" s="16">
        <f>SUM(HCE + HCE_NO + 0 + NEX)</f>
        <v/>
      </c>
      <c r="AJ48" s="17">
        <f>SUM(HCE + HCE_NO + 0 + NEX)</f>
        <v/>
      </c>
      <c r="AK48" s="39">
        <f>SUM(HCE + HCE_NO + 0 + NEX)</f>
        <v/>
      </c>
      <c r="AL48" s="39">
        <f>SUM(HCE + HCE_NO + 0 + NEX)</f>
        <v/>
      </c>
      <c r="AM48" s="17">
        <f>SUM(HCE + HCE_NO + 0 + NEX)</f>
        <v/>
      </c>
      <c r="AN48" s="28">
        <f>SUM(HCE + HCE_NO + 0 + NEX)</f>
        <v/>
      </c>
      <c r="AO48" s="28">
        <f>SUM(HCE + HCE_NO + 0 + NEX)</f>
        <v/>
      </c>
      <c r="AP48" s="16">
        <f>SUM(HCE + HCE_NO + 0 + NEX)</f>
        <v/>
      </c>
      <c r="AQ48" s="45">
        <f>SUM(HCE + HCE_NO + 0 + NEX)</f>
        <v/>
      </c>
      <c r="AR48" s="45">
        <f>SUM(HCE + HCE_NO + 0 + NEX)</f>
        <v/>
      </c>
      <c r="AS48" s="16">
        <f>SUM(HCE + HCE_NO + 0 + NEX)</f>
        <v/>
      </c>
      <c r="AT48" s="16">
        <f>SUM(HCE + HCE_NO + 0 + NEX)</f>
        <v/>
      </c>
      <c r="AU48" s="45">
        <f>SUM(HCE + HCE_NO + 0 + NEX)</f>
        <v/>
      </c>
      <c r="AV48" s="45">
        <f>SUM(HCE + HCE_NO + 0 + NEX)</f>
        <v/>
      </c>
      <c r="AW48" s="16">
        <f>SUM(HCE + HCE_NO + 0 + NEX)</f>
        <v/>
      </c>
      <c r="AX48" s="45">
        <f>SUM(HCE + HCE_NO + 0 + NEX)</f>
        <v/>
      </c>
      <c r="AY48" s="45">
        <f>SUM(HCE + HCE_NO + 0 + NEX)</f>
        <v/>
      </c>
      <c r="AZ48" s="16">
        <f>SUM(HCE + HCE_NO + 0 + NEX)</f>
        <v/>
      </c>
      <c r="BA48" s="16">
        <f>SUM(HCE + HCE_NO + 0 + NEX)</f>
        <v/>
      </c>
      <c r="BB48" s="16">
        <f>SUM(HCE + HCE_NO + 0 + NEX)</f>
        <v/>
      </c>
      <c r="BC48" s="16">
        <f>SUM(HCE + HCE_NO + 0 + NEX)</f>
        <v/>
      </c>
      <c r="BD48" s="45">
        <f>SUM(HCE + HCE_NO + 0 + NEX)</f>
        <v/>
      </c>
      <c r="BE48" s="45">
        <f>SUM(HCE + HCE_NO + 0 + NEX)</f>
        <v/>
      </c>
      <c r="BF48" s="7">
        <f>SUM(HCE + HCE_NO + 0 + NEX)</f>
        <v/>
      </c>
      <c r="BG48" s="7">
        <f>SUM(HCE + HCE_NO + 0 + NEX)</f>
        <v/>
      </c>
      <c r="BH48" s="7">
        <f>SUM(HCE + HCE_NO + 0 + NEX)</f>
        <v/>
      </c>
    </row>
  </sheetData>
  <autoFilter ref="A1:BH48"/>
  <conditionalFormatting sqref="B1:B1048576">
    <cfRule type="duplicateValues" priority="1" dxfId="0"/>
  </conditionalFormatting>
  <pageMargins left="0.5" right="0.5" top="0.75" bottom="0.5" header="0.25" footer="0.25"/>
  <pageSetup orientation="landscape" scale="80" fitToHeight="0" fitToWidth="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2025-10-30T16:14:11Z</dcterms:created>
  <dcterms:modified xmlns:dcterms="http://purl.org/dc/terms/" xmlns:xsi="http://www.w3.org/2001/XMLSchema-instance" xsi:type="dcterms:W3CDTF">2026-08-06T12:06:22Z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MSIP_Label_9e1e58c1-766d-4ff4-9619-b604fc37898b_Enabled" fmtid="{D5CDD505-2E9C-101B-9397-08002B2CF9AE}" pid="2">
    <vt:lpwstr xmlns:vt="http://schemas.openxmlformats.org/officeDocument/2006/docPropsVTypes">true</vt:lpwstr>
  </property>
  <property name="MSIP_Label_9e1e58c1-766d-4ff4-9619-b604fc37898b_SetDate" fmtid="{D5CDD505-2E9C-101B-9397-08002B2CF9AE}" pid="3">
    <vt:lpwstr xmlns:vt="http://schemas.openxmlformats.org/officeDocument/2006/docPropsVTypes">2025-10-30T13:43:10Z</vt:lpwstr>
  </property>
  <property name="MSIP_Label_9e1e58c1-766d-4ff4-9619-b604fc37898b_Method" fmtid="{D5CDD505-2E9C-101B-9397-08002B2CF9AE}" pid="4">
    <vt:lpwstr xmlns:vt="http://schemas.openxmlformats.org/officeDocument/2006/docPropsVTypes">Standard</vt:lpwstr>
  </property>
  <property name="MSIP_Label_9e1e58c1-766d-4ff4-9619-b604fc37898b_Name" fmtid="{D5CDD505-2E9C-101B-9397-08002B2CF9AE}" pid="5">
    <vt:lpwstr xmlns:vt="http://schemas.openxmlformats.org/officeDocument/2006/docPropsVTypes">Internal Use</vt:lpwstr>
  </property>
  <property name="MSIP_Label_9e1e58c1-766d-4ff4-9619-b604fc37898b_SiteId" fmtid="{D5CDD505-2E9C-101B-9397-08002B2CF9AE}" pid="6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7">
    <vt:lpwstr xmlns:vt="http://schemas.openxmlformats.org/officeDocument/2006/docPropsVTypes">21810cd4-7495-4354-ad26-ff3e158eae9d</vt:lpwstr>
  </property>
  <property name="MSIP_Label_9e1e58c1-766d-4ff4-9619-b604fc37898b_ContentBits" fmtid="{D5CDD505-2E9C-101B-9397-08002B2CF9AE}" pid="8">
    <vt:lpwstr xmlns:vt="http://schemas.openxmlformats.org/officeDocument/2006/docPropsVTypes">0</vt:lpwstr>
  </property>
  <property name="MSIP_Label_9e1e58c1-766d-4ff4-9619-b604fc37898b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0x0101002621C31EE599524694ED975ABB2B3982</vt:lpwstr>
  </property>
</Properties>
</file>